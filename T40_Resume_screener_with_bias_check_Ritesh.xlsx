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tes\Desktop\classAssignment\AI_tools\"/>
    </mc:Choice>
  </mc:AlternateContent>
  <xr:revisionPtr revIDLastSave="0" documentId="13_ncr:1_{14160263-5AC5-4F14-95D4-9E71342717D2}" xr6:coauthVersionLast="47" xr6:coauthVersionMax="47" xr10:uidLastSave="{00000000-0000-0000-0000-000000000000}"/>
  <bookViews>
    <workbookView xWindow="-107" yWindow="-107" windowWidth="27725" windowHeight="16699" tabRatio="896" activeTab="10" xr2:uid="{00000000-000D-0000-FFFF-FFFF00000000}"/>
  </bookViews>
  <sheets>
    <sheet name="Task Brief" sheetId="1" r:id="rId1"/>
    <sheet name="Shortlist Summary" sheetId="2" r:id="rId2"/>
    <sheet name="Scored Shortlist" sheetId="3" r:id="rId3"/>
    <sheet name="Scoring Prompt" sheetId="4" r:id="rId4"/>
    <sheet name="Prompt Iterations" sheetId="5" r:id="rId5"/>
    <sheet name="Rule Check" sheetId="6" r:id="rId6"/>
    <sheet name="Verification" sheetId="7" r:id="rId7"/>
    <sheet name="Bias Test" sheetId="8" r:id="rId8"/>
    <sheet name="Fairness Audit" sheetId="9" r:id="rId9"/>
    <sheet name="Guidelines" sheetId="10" r:id="rId10"/>
    <sheet name="AI Use Log" sheetId="11" r:id="rId11"/>
    <sheet name="Resumes" sheetId="12" r:id="rId12"/>
    <sheet name="Job Descriptions" sheetId="13" r:id="rId13"/>
    <sheet name="Data Dictionary" sheetId="14" r:id="rId14"/>
  </sheets>
  <definedNames>
    <definedName name="_xlnm._FilterDatabase" localSheetId="8" hidden="1">'Fairness Audit'!$A$45:$M$245</definedName>
    <definedName name="_xlnm._FilterDatabase" localSheetId="12" hidden="1">'Job Descriptions'!$A$1:$C$6</definedName>
    <definedName name="_xlnm._FilterDatabase" localSheetId="11" hidden="1">Resumes!$A$1:$I$101</definedName>
    <definedName name="_xlnm._FilterDatabase" localSheetId="5" hidden="1">'Rule Check'!$A$3:$AD$203</definedName>
    <definedName name="_xlnm._FilterDatabase" localSheetId="2" hidden="1">'Scored Shortlist'!$A$3:$P$203</definedName>
    <definedName name="RV_CUT">'Scoring Prompt'!$B$17</definedName>
    <definedName name="RV_SKILL">'Scoring Prompt'!$B$18</definedName>
    <definedName name="SL_CUT">'Scoring Prompt'!$B$15</definedName>
    <definedName name="SL_SKILL">'Scoring Prompt'!$B$16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5" i="9" l="1"/>
  <c r="B245" i="9"/>
  <c r="A245" i="9"/>
  <c r="E245" i="9" s="1"/>
  <c r="J245" i="9" s="1"/>
  <c r="G244" i="9"/>
  <c r="E244" i="9"/>
  <c r="J244" i="9" s="1"/>
  <c r="B244" i="9"/>
  <c r="A244" i="9"/>
  <c r="D244" i="9" s="1"/>
  <c r="I244" i="9" s="1"/>
  <c r="G243" i="9"/>
  <c r="E243" i="9"/>
  <c r="J243" i="9" s="1"/>
  <c r="D243" i="9"/>
  <c r="I243" i="9" s="1"/>
  <c r="C243" i="9"/>
  <c r="B243" i="9"/>
  <c r="A243" i="9"/>
  <c r="G242" i="9"/>
  <c r="B242" i="9"/>
  <c r="A242" i="9"/>
  <c r="G241" i="9"/>
  <c r="C241" i="9"/>
  <c r="B241" i="9"/>
  <c r="A241" i="9"/>
  <c r="E241" i="9" s="1"/>
  <c r="J241" i="9" s="1"/>
  <c r="J240" i="9"/>
  <c r="I240" i="9"/>
  <c r="G240" i="9"/>
  <c r="E240" i="9"/>
  <c r="D240" i="9"/>
  <c r="C240" i="9"/>
  <c r="B240" i="9"/>
  <c r="A240" i="9"/>
  <c r="G239" i="9"/>
  <c r="B239" i="9"/>
  <c r="A239" i="9"/>
  <c r="G238" i="9"/>
  <c r="E238" i="9"/>
  <c r="J238" i="9" s="1"/>
  <c r="D238" i="9"/>
  <c r="I238" i="9" s="1"/>
  <c r="C238" i="9"/>
  <c r="B238" i="9"/>
  <c r="A238" i="9"/>
  <c r="G237" i="9"/>
  <c r="B237" i="9"/>
  <c r="A237" i="9"/>
  <c r="G236" i="9"/>
  <c r="D236" i="9"/>
  <c r="I236" i="9" s="1"/>
  <c r="B236" i="9"/>
  <c r="A236" i="9"/>
  <c r="E236" i="9" s="1"/>
  <c r="J236" i="9" s="1"/>
  <c r="G235" i="9"/>
  <c r="E235" i="9"/>
  <c r="J235" i="9" s="1"/>
  <c r="D235" i="9"/>
  <c r="I235" i="9" s="1"/>
  <c r="B235" i="9"/>
  <c r="A235" i="9"/>
  <c r="C235" i="9" s="1"/>
  <c r="G234" i="9"/>
  <c r="B234" i="9"/>
  <c r="A234" i="9"/>
  <c r="G233" i="9"/>
  <c r="E233" i="9"/>
  <c r="J233" i="9" s="1"/>
  <c r="D233" i="9"/>
  <c r="I233" i="9" s="1"/>
  <c r="B233" i="9"/>
  <c r="A233" i="9"/>
  <c r="C233" i="9" s="1"/>
  <c r="G232" i="9"/>
  <c r="B232" i="9"/>
  <c r="A232" i="9"/>
  <c r="E232" i="9" s="1"/>
  <c r="J232" i="9" s="1"/>
  <c r="G231" i="9"/>
  <c r="B231" i="9"/>
  <c r="A231" i="9"/>
  <c r="G230" i="9"/>
  <c r="E230" i="9"/>
  <c r="J230" i="9" s="1"/>
  <c r="B230" i="9"/>
  <c r="A230" i="9"/>
  <c r="D230" i="9" s="1"/>
  <c r="I230" i="9" s="1"/>
  <c r="J229" i="9"/>
  <c r="G229" i="9"/>
  <c r="E229" i="9"/>
  <c r="D229" i="9"/>
  <c r="I229" i="9" s="1"/>
  <c r="C229" i="9"/>
  <c r="B229" i="9"/>
  <c r="A229" i="9"/>
  <c r="G228" i="9"/>
  <c r="B228" i="9"/>
  <c r="A228" i="9"/>
  <c r="G227" i="9"/>
  <c r="E227" i="9"/>
  <c r="J227" i="9" s="1"/>
  <c r="D227" i="9"/>
  <c r="I227" i="9" s="1"/>
  <c r="C227" i="9"/>
  <c r="B227" i="9"/>
  <c r="A227" i="9"/>
  <c r="G226" i="9"/>
  <c r="B226" i="9"/>
  <c r="A226" i="9"/>
  <c r="G225" i="9"/>
  <c r="C225" i="9"/>
  <c r="B225" i="9"/>
  <c r="A225" i="9"/>
  <c r="E225" i="9" s="1"/>
  <c r="J225" i="9" s="1"/>
  <c r="I224" i="9"/>
  <c r="G224" i="9"/>
  <c r="E224" i="9"/>
  <c r="J224" i="9" s="1"/>
  <c r="D224" i="9"/>
  <c r="C224" i="9"/>
  <c r="B224" i="9"/>
  <c r="A224" i="9"/>
  <c r="G223" i="9"/>
  <c r="B223" i="9"/>
  <c r="A223" i="9"/>
  <c r="J222" i="9"/>
  <c r="G222" i="9"/>
  <c r="E222" i="9"/>
  <c r="D222" i="9"/>
  <c r="I222" i="9" s="1"/>
  <c r="C222" i="9"/>
  <c r="B222" i="9"/>
  <c r="A222" i="9"/>
  <c r="G221" i="9"/>
  <c r="B221" i="9"/>
  <c r="A221" i="9"/>
  <c r="J220" i="9"/>
  <c r="I220" i="9"/>
  <c r="G220" i="9"/>
  <c r="D220" i="9"/>
  <c r="B220" i="9"/>
  <c r="A220" i="9"/>
  <c r="E220" i="9" s="1"/>
  <c r="G219" i="9"/>
  <c r="B219" i="9"/>
  <c r="A219" i="9"/>
  <c r="C219" i="9" s="1"/>
  <c r="J218" i="9"/>
  <c r="G218" i="9"/>
  <c r="B218" i="9"/>
  <c r="A218" i="9"/>
  <c r="E218" i="9" s="1"/>
  <c r="G217" i="9"/>
  <c r="B217" i="9"/>
  <c r="A217" i="9"/>
  <c r="C217" i="9" s="1"/>
  <c r="G216" i="9"/>
  <c r="B216" i="9"/>
  <c r="A216" i="9"/>
  <c r="E216" i="9" s="1"/>
  <c r="J216" i="9" s="1"/>
  <c r="G215" i="9"/>
  <c r="B215" i="9"/>
  <c r="A215" i="9"/>
  <c r="G214" i="9"/>
  <c r="E214" i="9"/>
  <c r="J214" i="9" s="1"/>
  <c r="B214" i="9"/>
  <c r="A214" i="9"/>
  <c r="D214" i="9" s="1"/>
  <c r="I214" i="9" s="1"/>
  <c r="G213" i="9"/>
  <c r="E213" i="9"/>
  <c r="J213" i="9" s="1"/>
  <c r="D213" i="9"/>
  <c r="I213" i="9" s="1"/>
  <c r="C213" i="9"/>
  <c r="B213" i="9"/>
  <c r="A213" i="9"/>
  <c r="G212" i="9"/>
  <c r="E212" i="9"/>
  <c r="J212" i="9" s="1"/>
  <c r="B212" i="9"/>
  <c r="A212" i="9"/>
  <c r="G211" i="9"/>
  <c r="E211" i="9"/>
  <c r="J211" i="9" s="1"/>
  <c r="D211" i="9"/>
  <c r="I211" i="9" s="1"/>
  <c r="C211" i="9"/>
  <c r="B211" i="9"/>
  <c r="A211" i="9"/>
  <c r="G210" i="9"/>
  <c r="B210" i="9"/>
  <c r="A210" i="9"/>
  <c r="G209" i="9"/>
  <c r="C209" i="9"/>
  <c r="B209" i="9"/>
  <c r="A209" i="9"/>
  <c r="E209" i="9" s="1"/>
  <c r="J209" i="9" s="1"/>
  <c r="J208" i="9"/>
  <c r="I208" i="9"/>
  <c r="G208" i="9"/>
  <c r="E208" i="9"/>
  <c r="D208" i="9"/>
  <c r="C208" i="9"/>
  <c r="B208" i="9"/>
  <c r="A208" i="9"/>
  <c r="G207" i="9"/>
  <c r="B207" i="9"/>
  <c r="A207" i="9"/>
  <c r="G206" i="9"/>
  <c r="E206" i="9"/>
  <c r="J206" i="9" s="1"/>
  <c r="D206" i="9"/>
  <c r="I206" i="9" s="1"/>
  <c r="C206" i="9"/>
  <c r="B206" i="9"/>
  <c r="A206" i="9"/>
  <c r="G205" i="9"/>
  <c r="B205" i="9"/>
  <c r="A205" i="9"/>
  <c r="G204" i="9"/>
  <c r="D204" i="9"/>
  <c r="I204" i="9" s="1"/>
  <c r="B204" i="9"/>
  <c r="A204" i="9"/>
  <c r="E204" i="9" s="1"/>
  <c r="J204" i="9" s="1"/>
  <c r="G203" i="9"/>
  <c r="D203" i="9"/>
  <c r="I203" i="9" s="1"/>
  <c r="B203" i="9"/>
  <c r="A203" i="9"/>
  <c r="C203" i="9" s="1"/>
  <c r="J202" i="9"/>
  <c r="G202" i="9"/>
  <c r="D202" i="9"/>
  <c r="I202" i="9" s="1"/>
  <c r="C202" i="9"/>
  <c r="B202" i="9"/>
  <c r="A202" i="9"/>
  <c r="E202" i="9" s="1"/>
  <c r="G201" i="9"/>
  <c r="E201" i="9"/>
  <c r="J201" i="9" s="1"/>
  <c r="D201" i="9"/>
  <c r="I201" i="9" s="1"/>
  <c r="B201" i="9"/>
  <c r="A201" i="9"/>
  <c r="C201" i="9" s="1"/>
  <c r="G200" i="9"/>
  <c r="D200" i="9"/>
  <c r="I200" i="9" s="1"/>
  <c r="C200" i="9"/>
  <c r="B200" i="9"/>
  <c r="A200" i="9"/>
  <c r="E200" i="9" s="1"/>
  <c r="J200" i="9" s="1"/>
  <c r="G199" i="9"/>
  <c r="E199" i="9"/>
  <c r="J199" i="9" s="1"/>
  <c r="B199" i="9"/>
  <c r="A199" i="9"/>
  <c r="G198" i="9"/>
  <c r="E198" i="9"/>
  <c r="J198" i="9" s="1"/>
  <c r="B198" i="9"/>
  <c r="A198" i="9"/>
  <c r="D198" i="9" s="1"/>
  <c r="I198" i="9" s="1"/>
  <c r="G197" i="9"/>
  <c r="E197" i="9"/>
  <c r="J197" i="9" s="1"/>
  <c r="D197" i="9"/>
  <c r="I197" i="9" s="1"/>
  <c r="C197" i="9"/>
  <c r="B197" i="9"/>
  <c r="A197" i="9"/>
  <c r="G196" i="9"/>
  <c r="B196" i="9"/>
  <c r="A196" i="9"/>
  <c r="G195" i="9"/>
  <c r="E195" i="9"/>
  <c r="J195" i="9" s="1"/>
  <c r="D195" i="9"/>
  <c r="I195" i="9" s="1"/>
  <c r="C195" i="9"/>
  <c r="B195" i="9"/>
  <c r="A195" i="9"/>
  <c r="G194" i="9"/>
  <c r="B194" i="9"/>
  <c r="A194" i="9"/>
  <c r="G193" i="9"/>
  <c r="C193" i="9"/>
  <c r="B193" i="9"/>
  <c r="A193" i="9"/>
  <c r="E193" i="9" s="1"/>
  <c r="J193" i="9" s="1"/>
  <c r="J192" i="9"/>
  <c r="G192" i="9"/>
  <c r="E192" i="9"/>
  <c r="D192" i="9"/>
  <c r="I192" i="9" s="1"/>
  <c r="C192" i="9"/>
  <c r="B192" i="9"/>
  <c r="A192" i="9"/>
  <c r="G191" i="9"/>
  <c r="B191" i="9"/>
  <c r="A191" i="9"/>
  <c r="G190" i="9"/>
  <c r="E190" i="9"/>
  <c r="J190" i="9" s="1"/>
  <c r="D190" i="9"/>
  <c r="I190" i="9" s="1"/>
  <c r="C190" i="9"/>
  <c r="B190" i="9"/>
  <c r="A190" i="9"/>
  <c r="G189" i="9"/>
  <c r="C189" i="9"/>
  <c r="B189" i="9"/>
  <c r="A189" i="9"/>
  <c r="G188" i="9"/>
  <c r="D188" i="9"/>
  <c r="I188" i="9" s="1"/>
  <c r="B188" i="9"/>
  <c r="A188" i="9"/>
  <c r="E188" i="9" s="1"/>
  <c r="J188" i="9" s="1"/>
  <c r="G187" i="9"/>
  <c r="E187" i="9"/>
  <c r="J187" i="9" s="1"/>
  <c r="B187" i="9"/>
  <c r="A187" i="9"/>
  <c r="C187" i="9" s="1"/>
  <c r="G186" i="9"/>
  <c r="C186" i="9"/>
  <c r="B186" i="9"/>
  <c r="A186" i="9"/>
  <c r="E186" i="9" s="1"/>
  <c r="J186" i="9" s="1"/>
  <c r="G185" i="9"/>
  <c r="E185" i="9"/>
  <c r="J185" i="9" s="1"/>
  <c r="D185" i="9"/>
  <c r="I185" i="9" s="1"/>
  <c r="B185" i="9"/>
  <c r="A185" i="9"/>
  <c r="C185" i="9" s="1"/>
  <c r="G184" i="9"/>
  <c r="C184" i="9"/>
  <c r="B184" i="9"/>
  <c r="A184" i="9"/>
  <c r="E184" i="9" s="1"/>
  <c r="J184" i="9" s="1"/>
  <c r="G183" i="9"/>
  <c r="B183" i="9"/>
  <c r="A183" i="9"/>
  <c r="G182" i="9"/>
  <c r="E182" i="9"/>
  <c r="J182" i="9" s="1"/>
  <c r="B182" i="9"/>
  <c r="A182" i="9"/>
  <c r="D182" i="9" s="1"/>
  <c r="I182" i="9" s="1"/>
  <c r="J181" i="9"/>
  <c r="I181" i="9"/>
  <c r="G181" i="9"/>
  <c r="E181" i="9"/>
  <c r="D181" i="9"/>
  <c r="C181" i="9"/>
  <c r="B181" i="9"/>
  <c r="A181" i="9"/>
  <c r="G180" i="9"/>
  <c r="E180" i="9"/>
  <c r="J180" i="9" s="1"/>
  <c r="B180" i="9"/>
  <c r="A180" i="9"/>
  <c r="I179" i="9"/>
  <c r="G179" i="9"/>
  <c r="E179" i="9"/>
  <c r="J179" i="9" s="1"/>
  <c r="D179" i="9"/>
  <c r="C179" i="9"/>
  <c r="B179" i="9"/>
  <c r="A179" i="9"/>
  <c r="G178" i="9"/>
  <c r="B178" i="9"/>
  <c r="A178" i="9"/>
  <c r="G177" i="9"/>
  <c r="C177" i="9"/>
  <c r="B177" i="9"/>
  <c r="A177" i="9"/>
  <c r="E177" i="9" s="1"/>
  <c r="J177" i="9" s="1"/>
  <c r="G176" i="9"/>
  <c r="E176" i="9"/>
  <c r="J176" i="9" s="1"/>
  <c r="D176" i="9"/>
  <c r="I176" i="9" s="1"/>
  <c r="C176" i="9"/>
  <c r="B176" i="9"/>
  <c r="A176" i="9"/>
  <c r="G175" i="9"/>
  <c r="B175" i="9"/>
  <c r="A175" i="9"/>
  <c r="G174" i="9"/>
  <c r="E174" i="9"/>
  <c r="J174" i="9" s="1"/>
  <c r="D174" i="9"/>
  <c r="I174" i="9" s="1"/>
  <c r="C174" i="9"/>
  <c r="B174" i="9"/>
  <c r="A174" i="9"/>
  <c r="G173" i="9"/>
  <c r="B173" i="9"/>
  <c r="A173" i="9"/>
  <c r="J172" i="9"/>
  <c r="I172" i="9"/>
  <c r="G172" i="9"/>
  <c r="D172" i="9"/>
  <c r="B172" i="9"/>
  <c r="A172" i="9"/>
  <c r="E172" i="9" s="1"/>
  <c r="G171" i="9"/>
  <c r="D171" i="9"/>
  <c r="I171" i="9" s="1"/>
  <c r="B171" i="9"/>
  <c r="A171" i="9"/>
  <c r="C171" i="9" s="1"/>
  <c r="J170" i="9"/>
  <c r="G170" i="9"/>
  <c r="C170" i="9"/>
  <c r="B170" i="9"/>
  <c r="A170" i="9"/>
  <c r="E170" i="9" s="1"/>
  <c r="G169" i="9"/>
  <c r="B169" i="9"/>
  <c r="A169" i="9"/>
  <c r="C169" i="9" s="1"/>
  <c r="G168" i="9"/>
  <c r="C168" i="9"/>
  <c r="B168" i="9"/>
  <c r="A168" i="9"/>
  <c r="E168" i="9" s="1"/>
  <c r="J168" i="9" s="1"/>
  <c r="J167" i="9"/>
  <c r="G167" i="9"/>
  <c r="E167" i="9"/>
  <c r="B167" i="9"/>
  <c r="A167" i="9"/>
  <c r="G166" i="9"/>
  <c r="E166" i="9"/>
  <c r="J166" i="9" s="1"/>
  <c r="B166" i="9"/>
  <c r="A166" i="9"/>
  <c r="D166" i="9" s="1"/>
  <c r="I166" i="9" s="1"/>
  <c r="G165" i="9"/>
  <c r="E165" i="9"/>
  <c r="J165" i="9" s="1"/>
  <c r="D165" i="9"/>
  <c r="I165" i="9" s="1"/>
  <c r="C165" i="9"/>
  <c r="B165" i="9"/>
  <c r="A165" i="9"/>
  <c r="G164" i="9"/>
  <c r="B164" i="9"/>
  <c r="A164" i="9"/>
  <c r="G163" i="9"/>
  <c r="E163" i="9"/>
  <c r="J163" i="9" s="1"/>
  <c r="D163" i="9"/>
  <c r="I163" i="9" s="1"/>
  <c r="C163" i="9"/>
  <c r="B163" i="9"/>
  <c r="A163" i="9"/>
  <c r="G162" i="9"/>
  <c r="B162" i="9"/>
  <c r="A162" i="9"/>
  <c r="G161" i="9"/>
  <c r="C161" i="9"/>
  <c r="B161" i="9"/>
  <c r="A161" i="9"/>
  <c r="E161" i="9" s="1"/>
  <c r="J161" i="9" s="1"/>
  <c r="J160" i="9"/>
  <c r="G160" i="9"/>
  <c r="E160" i="9"/>
  <c r="D160" i="9"/>
  <c r="I160" i="9" s="1"/>
  <c r="C160" i="9"/>
  <c r="B160" i="9"/>
  <c r="A160" i="9"/>
  <c r="G159" i="9"/>
  <c r="B159" i="9"/>
  <c r="A159" i="9"/>
  <c r="G158" i="9"/>
  <c r="E158" i="9"/>
  <c r="J158" i="9" s="1"/>
  <c r="D158" i="9"/>
  <c r="I158" i="9" s="1"/>
  <c r="C158" i="9"/>
  <c r="B158" i="9"/>
  <c r="A158" i="9"/>
  <c r="G157" i="9"/>
  <c r="C157" i="9"/>
  <c r="B157" i="9"/>
  <c r="A157" i="9"/>
  <c r="J156" i="9"/>
  <c r="G156" i="9"/>
  <c r="D156" i="9"/>
  <c r="I156" i="9" s="1"/>
  <c r="B156" i="9"/>
  <c r="A156" i="9"/>
  <c r="E156" i="9" s="1"/>
  <c r="G155" i="9"/>
  <c r="B155" i="9"/>
  <c r="A155" i="9"/>
  <c r="C155" i="9" s="1"/>
  <c r="G154" i="9"/>
  <c r="B154" i="9"/>
  <c r="A154" i="9"/>
  <c r="E154" i="9" s="1"/>
  <c r="J154" i="9" s="1"/>
  <c r="G153" i="9"/>
  <c r="E153" i="9"/>
  <c r="J153" i="9" s="1"/>
  <c r="B153" i="9"/>
  <c r="A153" i="9"/>
  <c r="C153" i="9" s="1"/>
  <c r="G152" i="9"/>
  <c r="B152" i="9"/>
  <c r="A152" i="9"/>
  <c r="E152" i="9" s="1"/>
  <c r="J152" i="9" s="1"/>
  <c r="G151" i="9"/>
  <c r="B151" i="9"/>
  <c r="A151" i="9"/>
  <c r="G150" i="9"/>
  <c r="E150" i="9"/>
  <c r="J150" i="9" s="1"/>
  <c r="D150" i="9"/>
  <c r="I150" i="9" s="1"/>
  <c r="B150" i="9"/>
  <c r="A150" i="9"/>
  <c r="C150" i="9" s="1"/>
  <c r="G149" i="9"/>
  <c r="E149" i="9"/>
  <c r="J149" i="9" s="1"/>
  <c r="B149" i="9"/>
  <c r="A149" i="9"/>
  <c r="D149" i="9" s="1"/>
  <c r="I149" i="9" s="1"/>
  <c r="G148" i="9"/>
  <c r="E148" i="9"/>
  <c r="J148" i="9" s="1"/>
  <c r="B148" i="9"/>
  <c r="A148" i="9"/>
  <c r="G147" i="9"/>
  <c r="E147" i="9"/>
  <c r="J147" i="9" s="1"/>
  <c r="D147" i="9"/>
  <c r="I147" i="9" s="1"/>
  <c r="C147" i="9"/>
  <c r="B147" i="9"/>
  <c r="A147" i="9"/>
  <c r="G146" i="9"/>
  <c r="B146" i="9"/>
  <c r="A146" i="9"/>
  <c r="G145" i="9"/>
  <c r="E145" i="9"/>
  <c r="J145" i="9" s="1"/>
  <c r="C145" i="9"/>
  <c r="B145" i="9"/>
  <c r="A145" i="9"/>
  <c r="D145" i="9" s="1"/>
  <c r="I145" i="9" s="1"/>
  <c r="G144" i="9"/>
  <c r="E144" i="9"/>
  <c r="J144" i="9" s="1"/>
  <c r="D144" i="9"/>
  <c r="I144" i="9" s="1"/>
  <c r="C144" i="9"/>
  <c r="B144" i="9"/>
  <c r="A144" i="9"/>
  <c r="G143" i="9"/>
  <c r="C143" i="9"/>
  <c r="B143" i="9"/>
  <c r="A143" i="9"/>
  <c r="J142" i="9"/>
  <c r="G142" i="9"/>
  <c r="E142" i="9"/>
  <c r="D142" i="9"/>
  <c r="I142" i="9" s="1"/>
  <c r="C142" i="9"/>
  <c r="B142" i="9"/>
  <c r="A142" i="9"/>
  <c r="G141" i="9"/>
  <c r="C141" i="9"/>
  <c r="B141" i="9"/>
  <c r="A141" i="9"/>
  <c r="G140" i="9"/>
  <c r="D140" i="9"/>
  <c r="I140" i="9" s="1"/>
  <c r="B140" i="9"/>
  <c r="A140" i="9"/>
  <c r="E140" i="9" s="1"/>
  <c r="J140" i="9" s="1"/>
  <c r="G139" i="9"/>
  <c r="C139" i="9"/>
  <c r="B139" i="9"/>
  <c r="A139" i="9"/>
  <c r="E139" i="9" s="1"/>
  <c r="J139" i="9" s="1"/>
  <c r="J138" i="9"/>
  <c r="G138" i="9"/>
  <c r="D138" i="9"/>
  <c r="I138" i="9" s="1"/>
  <c r="C138" i="9"/>
  <c r="B138" i="9"/>
  <c r="A138" i="9"/>
  <c r="E138" i="9" s="1"/>
  <c r="G137" i="9"/>
  <c r="D137" i="9"/>
  <c r="I137" i="9" s="1"/>
  <c r="B137" i="9"/>
  <c r="A137" i="9"/>
  <c r="C137" i="9" s="1"/>
  <c r="J136" i="9"/>
  <c r="G136" i="9"/>
  <c r="D136" i="9"/>
  <c r="I136" i="9" s="1"/>
  <c r="B136" i="9"/>
  <c r="A136" i="9"/>
  <c r="E136" i="9" s="1"/>
  <c r="G135" i="9"/>
  <c r="E135" i="9"/>
  <c r="J135" i="9" s="1"/>
  <c r="B135" i="9"/>
  <c r="A135" i="9"/>
  <c r="G134" i="9"/>
  <c r="E134" i="9"/>
  <c r="J134" i="9" s="1"/>
  <c r="D134" i="9"/>
  <c r="I134" i="9" s="1"/>
  <c r="B134" i="9"/>
  <c r="A134" i="9"/>
  <c r="C134" i="9" s="1"/>
  <c r="G133" i="9"/>
  <c r="B133" i="9"/>
  <c r="A133" i="9"/>
  <c r="E133" i="9" s="1"/>
  <c r="J133" i="9" s="1"/>
  <c r="G132" i="9"/>
  <c r="B132" i="9"/>
  <c r="A132" i="9"/>
  <c r="G131" i="9"/>
  <c r="E131" i="9"/>
  <c r="J131" i="9" s="1"/>
  <c r="D131" i="9"/>
  <c r="I131" i="9" s="1"/>
  <c r="C131" i="9"/>
  <c r="B131" i="9"/>
  <c r="A131" i="9"/>
  <c r="G130" i="9"/>
  <c r="B130" i="9"/>
  <c r="A130" i="9"/>
  <c r="I129" i="9"/>
  <c r="G129" i="9"/>
  <c r="E129" i="9"/>
  <c r="J129" i="9" s="1"/>
  <c r="C129" i="9"/>
  <c r="B129" i="9"/>
  <c r="A129" i="9"/>
  <c r="D129" i="9" s="1"/>
  <c r="I128" i="9"/>
  <c r="G128" i="9"/>
  <c r="E128" i="9"/>
  <c r="J128" i="9" s="1"/>
  <c r="D128" i="9"/>
  <c r="C128" i="9"/>
  <c r="B128" i="9"/>
  <c r="A128" i="9"/>
  <c r="G127" i="9"/>
  <c r="B127" i="9"/>
  <c r="A127" i="9"/>
  <c r="G126" i="9"/>
  <c r="E126" i="9"/>
  <c r="J126" i="9" s="1"/>
  <c r="D126" i="9"/>
  <c r="I126" i="9" s="1"/>
  <c r="C126" i="9"/>
  <c r="B126" i="9"/>
  <c r="A126" i="9"/>
  <c r="G125" i="9"/>
  <c r="C125" i="9"/>
  <c r="B125" i="9"/>
  <c r="A125" i="9"/>
  <c r="J124" i="9"/>
  <c r="G124" i="9"/>
  <c r="D124" i="9"/>
  <c r="I124" i="9" s="1"/>
  <c r="B124" i="9"/>
  <c r="A124" i="9"/>
  <c r="E124" i="9" s="1"/>
  <c r="G123" i="9"/>
  <c r="B123" i="9"/>
  <c r="A123" i="9"/>
  <c r="E123" i="9" s="1"/>
  <c r="J123" i="9" s="1"/>
  <c r="J122" i="9"/>
  <c r="G122" i="9"/>
  <c r="C122" i="9"/>
  <c r="B122" i="9"/>
  <c r="A122" i="9"/>
  <c r="E122" i="9" s="1"/>
  <c r="G121" i="9"/>
  <c r="B121" i="9"/>
  <c r="A121" i="9"/>
  <c r="C121" i="9" s="1"/>
  <c r="G120" i="9"/>
  <c r="B120" i="9"/>
  <c r="A120" i="9"/>
  <c r="E120" i="9" s="1"/>
  <c r="J120" i="9" s="1"/>
  <c r="G119" i="9"/>
  <c r="B119" i="9"/>
  <c r="A119" i="9"/>
  <c r="G118" i="9"/>
  <c r="E118" i="9"/>
  <c r="J118" i="9" s="1"/>
  <c r="D118" i="9"/>
  <c r="I118" i="9" s="1"/>
  <c r="B118" i="9"/>
  <c r="A118" i="9"/>
  <c r="C118" i="9" s="1"/>
  <c r="G117" i="9"/>
  <c r="E117" i="9"/>
  <c r="J117" i="9" s="1"/>
  <c r="D117" i="9"/>
  <c r="I117" i="9" s="1"/>
  <c r="B117" i="9"/>
  <c r="A117" i="9"/>
  <c r="C117" i="9" s="1"/>
  <c r="G116" i="9"/>
  <c r="B116" i="9"/>
  <c r="A116" i="9"/>
  <c r="I115" i="9"/>
  <c r="G115" i="9"/>
  <c r="E115" i="9"/>
  <c r="J115" i="9" s="1"/>
  <c r="D115" i="9"/>
  <c r="C115" i="9"/>
  <c r="B115" i="9"/>
  <c r="A115" i="9"/>
  <c r="G114" i="9"/>
  <c r="B114" i="9"/>
  <c r="A114" i="9"/>
  <c r="I113" i="9"/>
  <c r="G113" i="9"/>
  <c r="E113" i="9"/>
  <c r="J113" i="9" s="1"/>
  <c r="C113" i="9"/>
  <c r="B113" i="9"/>
  <c r="A113" i="9"/>
  <c r="D113" i="9" s="1"/>
  <c r="G112" i="9"/>
  <c r="E112" i="9"/>
  <c r="J112" i="9" s="1"/>
  <c r="D112" i="9"/>
  <c r="I112" i="9" s="1"/>
  <c r="C112" i="9"/>
  <c r="B112" i="9"/>
  <c r="A112" i="9"/>
  <c r="G111" i="9"/>
  <c r="C111" i="9"/>
  <c r="B111" i="9"/>
  <c r="A111" i="9"/>
  <c r="G110" i="9"/>
  <c r="C110" i="9"/>
  <c r="B110" i="9"/>
  <c r="A110" i="9"/>
  <c r="E110" i="9" s="1"/>
  <c r="J110" i="9" s="1"/>
  <c r="G109" i="9"/>
  <c r="E109" i="9"/>
  <c r="J109" i="9" s="1"/>
  <c r="D109" i="9"/>
  <c r="I109" i="9" s="1"/>
  <c r="C109" i="9"/>
  <c r="B109" i="9"/>
  <c r="A109" i="9"/>
  <c r="G108" i="9"/>
  <c r="B108" i="9"/>
  <c r="A108" i="9"/>
  <c r="E108" i="9" s="1"/>
  <c r="J108" i="9" s="1"/>
  <c r="G107" i="9"/>
  <c r="E107" i="9"/>
  <c r="J107" i="9" s="1"/>
  <c r="D107" i="9"/>
  <c r="I107" i="9" s="1"/>
  <c r="B107" i="9"/>
  <c r="A107" i="9"/>
  <c r="C107" i="9" s="1"/>
  <c r="G106" i="9"/>
  <c r="B106" i="9"/>
  <c r="A106" i="9"/>
  <c r="E106" i="9" s="1"/>
  <c r="J106" i="9" s="1"/>
  <c r="I105" i="9"/>
  <c r="G105" i="9"/>
  <c r="E105" i="9"/>
  <c r="J105" i="9" s="1"/>
  <c r="D105" i="9"/>
  <c r="C105" i="9"/>
  <c r="B105" i="9"/>
  <c r="A105" i="9"/>
  <c r="G104" i="9"/>
  <c r="E104" i="9"/>
  <c r="J104" i="9" s="1"/>
  <c r="D104" i="9"/>
  <c r="I104" i="9" s="1"/>
  <c r="C104" i="9"/>
  <c r="B104" i="9"/>
  <c r="A104" i="9"/>
  <c r="G103" i="9"/>
  <c r="B103" i="9"/>
  <c r="A103" i="9"/>
  <c r="E103" i="9" s="1"/>
  <c r="J103" i="9" s="1"/>
  <c r="G102" i="9"/>
  <c r="E102" i="9"/>
  <c r="J102" i="9" s="1"/>
  <c r="C102" i="9"/>
  <c r="B102" i="9"/>
  <c r="A102" i="9"/>
  <c r="D102" i="9" s="1"/>
  <c r="I102" i="9" s="1"/>
  <c r="I101" i="9"/>
  <c r="G101" i="9"/>
  <c r="D101" i="9"/>
  <c r="C101" i="9"/>
  <c r="B101" i="9"/>
  <c r="A101" i="9"/>
  <c r="E101" i="9" s="1"/>
  <c r="J101" i="9" s="1"/>
  <c r="G100" i="9"/>
  <c r="C100" i="9"/>
  <c r="B100" i="9"/>
  <c r="A100" i="9"/>
  <c r="E100" i="9" s="1"/>
  <c r="J100" i="9" s="1"/>
  <c r="G99" i="9"/>
  <c r="E99" i="9"/>
  <c r="J99" i="9" s="1"/>
  <c r="D99" i="9"/>
  <c r="I99" i="9" s="1"/>
  <c r="C99" i="9"/>
  <c r="B99" i="9"/>
  <c r="A99" i="9"/>
  <c r="G98" i="9"/>
  <c r="B98" i="9"/>
  <c r="A98" i="9"/>
  <c r="E98" i="9" s="1"/>
  <c r="J98" i="9" s="1"/>
  <c r="G97" i="9"/>
  <c r="B97" i="9"/>
  <c r="A97" i="9"/>
  <c r="E97" i="9" s="1"/>
  <c r="J97" i="9" s="1"/>
  <c r="G96" i="9"/>
  <c r="C96" i="9"/>
  <c r="B96" i="9"/>
  <c r="A96" i="9"/>
  <c r="E96" i="9" s="1"/>
  <c r="J96" i="9" s="1"/>
  <c r="I95" i="9"/>
  <c r="G95" i="9"/>
  <c r="D95" i="9"/>
  <c r="B95" i="9"/>
  <c r="A95" i="9"/>
  <c r="E95" i="9" s="1"/>
  <c r="J95" i="9" s="1"/>
  <c r="G94" i="9"/>
  <c r="E94" i="9"/>
  <c r="J94" i="9" s="1"/>
  <c r="D94" i="9"/>
  <c r="I94" i="9" s="1"/>
  <c r="B94" i="9"/>
  <c r="A94" i="9"/>
  <c r="C94" i="9" s="1"/>
  <c r="G93" i="9"/>
  <c r="B93" i="9"/>
  <c r="A93" i="9"/>
  <c r="E93" i="9" s="1"/>
  <c r="J93" i="9" s="1"/>
  <c r="G92" i="9"/>
  <c r="B92" i="9"/>
  <c r="A92" i="9"/>
  <c r="E92" i="9" s="1"/>
  <c r="J92" i="9" s="1"/>
  <c r="G91" i="9"/>
  <c r="E91" i="9"/>
  <c r="J91" i="9" s="1"/>
  <c r="D91" i="9"/>
  <c r="I91" i="9" s="1"/>
  <c r="B91" i="9"/>
  <c r="A91" i="9"/>
  <c r="C91" i="9" s="1"/>
  <c r="G90" i="9"/>
  <c r="B90" i="9"/>
  <c r="A90" i="9"/>
  <c r="E90" i="9" s="1"/>
  <c r="J90" i="9" s="1"/>
  <c r="I89" i="9"/>
  <c r="G89" i="9"/>
  <c r="E89" i="9"/>
  <c r="J89" i="9" s="1"/>
  <c r="D89" i="9"/>
  <c r="C89" i="9"/>
  <c r="B89" i="9"/>
  <c r="A89" i="9"/>
  <c r="G88" i="9"/>
  <c r="E88" i="9"/>
  <c r="J88" i="9" s="1"/>
  <c r="D88" i="9"/>
  <c r="I88" i="9" s="1"/>
  <c r="C88" i="9"/>
  <c r="B88" i="9"/>
  <c r="A88" i="9"/>
  <c r="G87" i="9"/>
  <c r="B87" i="9"/>
  <c r="A87" i="9"/>
  <c r="E87" i="9" s="1"/>
  <c r="J87" i="9" s="1"/>
  <c r="G86" i="9"/>
  <c r="E86" i="9"/>
  <c r="J86" i="9" s="1"/>
  <c r="C86" i="9"/>
  <c r="B86" i="9"/>
  <c r="A86" i="9"/>
  <c r="D86" i="9" s="1"/>
  <c r="I86" i="9" s="1"/>
  <c r="I85" i="9"/>
  <c r="G85" i="9"/>
  <c r="D85" i="9"/>
  <c r="C85" i="9"/>
  <c r="B85" i="9"/>
  <c r="A85" i="9"/>
  <c r="E85" i="9" s="1"/>
  <c r="J85" i="9" s="1"/>
  <c r="G84" i="9"/>
  <c r="C84" i="9"/>
  <c r="B84" i="9"/>
  <c r="A84" i="9"/>
  <c r="E84" i="9" s="1"/>
  <c r="J84" i="9" s="1"/>
  <c r="G83" i="9"/>
  <c r="E83" i="9"/>
  <c r="J83" i="9" s="1"/>
  <c r="D83" i="9"/>
  <c r="I83" i="9" s="1"/>
  <c r="C83" i="9"/>
  <c r="B83" i="9"/>
  <c r="A83" i="9"/>
  <c r="G82" i="9"/>
  <c r="B82" i="9"/>
  <c r="A82" i="9"/>
  <c r="E82" i="9" s="1"/>
  <c r="J82" i="9" s="1"/>
  <c r="G81" i="9"/>
  <c r="B81" i="9"/>
  <c r="A81" i="9"/>
  <c r="E81" i="9" s="1"/>
  <c r="J81" i="9" s="1"/>
  <c r="G80" i="9"/>
  <c r="C80" i="9"/>
  <c r="B80" i="9"/>
  <c r="A80" i="9"/>
  <c r="E80" i="9" s="1"/>
  <c r="J80" i="9" s="1"/>
  <c r="I79" i="9"/>
  <c r="G79" i="9"/>
  <c r="D79" i="9"/>
  <c r="B79" i="9"/>
  <c r="A79" i="9"/>
  <c r="E79" i="9" s="1"/>
  <c r="J79" i="9" s="1"/>
  <c r="G78" i="9"/>
  <c r="E78" i="9"/>
  <c r="J78" i="9" s="1"/>
  <c r="D78" i="9"/>
  <c r="I78" i="9" s="1"/>
  <c r="B78" i="9"/>
  <c r="A78" i="9"/>
  <c r="C78" i="9" s="1"/>
  <c r="G77" i="9"/>
  <c r="B77" i="9"/>
  <c r="A77" i="9"/>
  <c r="E77" i="9" s="1"/>
  <c r="J77" i="9" s="1"/>
  <c r="G76" i="9"/>
  <c r="B76" i="9"/>
  <c r="A76" i="9"/>
  <c r="E76" i="9" s="1"/>
  <c r="J76" i="9" s="1"/>
  <c r="G75" i="9"/>
  <c r="E75" i="9"/>
  <c r="J75" i="9" s="1"/>
  <c r="D75" i="9"/>
  <c r="I75" i="9" s="1"/>
  <c r="B75" i="9"/>
  <c r="A75" i="9"/>
  <c r="C75" i="9" s="1"/>
  <c r="G74" i="9"/>
  <c r="B74" i="9"/>
  <c r="A74" i="9"/>
  <c r="E74" i="9" s="1"/>
  <c r="J74" i="9" s="1"/>
  <c r="I73" i="9"/>
  <c r="G73" i="9"/>
  <c r="E73" i="9"/>
  <c r="J73" i="9" s="1"/>
  <c r="D73" i="9"/>
  <c r="C73" i="9"/>
  <c r="B73" i="9"/>
  <c r="A73" i="9"/>
  <c r="G72" i="9"/>
  <c r="E72" i="9"/>
  <c r="J72" i="9" s="1"/>
  <c r="D72" i="9"/>
  <c r="I72" i="9" s="1"/>
  <c r="C72" i="9"/>
  <c r="B72" i="9"/>
  <c r="A72" i="9"/>
  <c r="G71" i="9"/>
  <c r="B71" i="9"/>
  <c r="A71" i="9"/>
  <c r="E71" i="9" s="1"/>
  <c r="J71" i="9" s="1"/>
  <c r="G70" i="9"/>
  <c r="E70" i="9"/>
  <c r="J70" i="9" s="1"/>
  <c r="C70" i="9"/>
  <c r="B70" i="9"/>
  <c r="A70" i="9"/>
  <c r="D70" i="9" s="1"/>
  <c r="I70" i="9" s="1"/>
  <c r="I69" i="9"/>
  <c r="G69" i="9"/>
  <c r="D69" i="9"/>
  <c r="C69" i="9"/>
  <c r="B69" i="9"/>
  <c r="A69" i="9"/>
  <c r="E69" i="9" s="1"/>
  <c r="J69" i="9" s="1"/>
  <c r="G68" i="9"/>
  <c r="C68" i="9"/>
  <c r="B68" i="9"/>
  <c r="A68" i="9"/>
  <c r="E68" i="9" s="1"/>
  <c r="J68" i="9" s="1"/>
  <c r="G67" i="9"/>
  <c r="E67" i="9"/>
  <c r="J67" i="9" s="1"/>
  <c r="D67" i="9"/>
  <c r="I67" i="9" s="1"/>
  <c r="C67" i="9"/>
  <c r="B67" i="9"/>
  <c r="A67" i="9"/>
  <c r="G66" i="9"/>
  <c r="B66" i="9"/>
  <c r="A66" i="9"/>
  <c r="E66" i="9" s="1"/>
  <c r="J66" i="9" s="1"/>
  <c r="G65" i="9"/>
  <c r="D65" i="9"/>
  <c r="I65" i="9" s="1"/>
  <c r="B65" i="9"/>
  <c r="A65" i="9"/>
  <c r="E65" i="9" s="1"/>
  <c r="J65" i="9" s="1"/>
  <c r="G64" i="9"/>
  <c r="C64" i="9"/>
  <c r="B64" i="9"/>
  <c r="A64" i="9"/>
  <c r="E64" i="9" s="1"/>
  <c r="J64" i="9" s="1"/>
  <c r="I63" i="9"/>
  <c r="G63" i="9"/>
  <c r="D63" i="9"/>
  <c r="B63" i="9"/>
  <c r="A63" i="9"/>
  <c r="E63" i="9" s="1"/>
  <c r="J63" i="9" s="1"/>
  <c r="G62" i="9"/>
  <c r="E62" i="9"/>
  <c r="J62" i="9" s="1"/>
  <c r="D62" i="9"/>
  <c r="I62" i="9" s="1"/>
  <c r="B62" i="9"/>
  <c r="A62" i="9"/>
  <c r="C62" i="9" s="1"/>
  <c r="G61" i="9"/>
  <c r="B61" i="9"/>
  <c r="A61" i="9"/>
  <c r="E61" i="9" s="1"/>
  <c r="J61" i="9" s="1"/>
  <c r="G60" i="9"/>
  <c r="B60" i="9"/>
  <c r="A60" i="9"/>
  <c r="E60" i="9" s="1"/>
  <c r="J60" i="9" s="1"/>
  <c r="G59" i="9"/>
  <c r="E59" i="9"/>
  <c r="J59" i="9" s="1"/>
  <c r="D59" i="9"/>
  <c r="I59" i="9" s="1"/>
  <c r="B59" i="9"/>
  <c r="A59" i="9"/>
  <c r="C59" i="9" s="1"/>
  <c r="G58" i="9"/>
  <c r="B58" i="9"/>
  <c r="A58" i="9"/>
  <c r="E58" i="9" s="1"/>
  <c r="J58" i="9" s="1"/>
  <c r="I57" i="9"/>
  <c r="G57" i="9"/>
  <c r="E57" i="9"/>
  <c r="J57" i="9" s="1"/>
  <c r="D57" i="9"/>
  <c r="C57" i="9"/>
  <c r="B57" i="9"/>
  <c r="A57" i="9"/>
  <c r="G56" i="9"/>
  <c r="E56" i="9"/>
  <c r="J56" i="9" s="1"/>
  <c r="D56" i="9"/>
  <c r="I56" i="9" s="1"/>
  <c r="C56" i="9"/>
  <c r="B56" i="9"/>
  <c r="A56" i="9"/>
  <c r="G55" i="9"/>
  <c r="B55" i="9"/>
  <c r="A55" i="9"/>
  <c r="E55" i="9" s="1"/>
  <c r="J55" i="9" s="1"/>
  <c r="G54" i="9"/>
  <c r="E54" i="9"/>
  <c r="J54" i="9" s="1"/>
  <c r="C54" i="9"/>
  <c r="B54" i="9"/>
  <c r="A54" i="9"/>
  <c r="D54" i="9" s="1"/>
  <c r="I54" i="9" s="1"/>
  <c r="I53" i="9"/>
  <c r="G53" i="9"/>
  <c r="D53" i="9"/>
  <c r="C53" i="9"/>
  <c r="B53" i="9"/>
  <c r="A53" i="9"/>
  <c r="E53" i="9" s="1"/>
  <c r="J53" i="9" s="1"/>
  <c r="G52" i="9"/>
  <c r="C52" i="9"/>
  <c r="B52" i="9"/>
  <c r="A52" i="9"/>
  <c r="E52" i="9" s="1"/>
  <c r="J52" i="9" s="1"/>
  <c r="G51" i="9"/>
  <c r="E51" i="9"/>
  <c r="J51" i="9" s="1"/>
  <c r="D51" i="9"/>
  <c r="I51" i="9" s="1"/>
  <c r="C51" i="9"/>
  <c r="B51" i="9"/>
  <c r="A51" i="9"/>
  <c r="G50" i="9"/>
  <c r="B50" i="9"/>
  <c r="A50" i="9"/>
  <c r="E50" i="9" s="1"/>
  <c r="J50" i="9" s="1"/>
  <c r="G49" i="9"/>
  <c r="D49" i="9"/>
  <c r="I49" i="9" s="1"/>
  <c r="B49" i="9"/>
  <c r="A49" i="9"/>
  <c r="E49" i="9" s="1"/>
  <c r="J49" i="9" s="1"/>
  <c r="G48" i="9"/>
  <c r="C48" i="9"/>
  <c r="B48" i="9"/>
  <c r="A48" i="9"/>
  <c r="E48" i="9" s="1"/>
  <c r="J48" i="9" s="1"/>
  <c r="I47" i="9"/>
  <c r="G47" i="9"/>
  <c r="D47" i="9"/>
  <c r="B47" i="9"/>
  <c r="A47" i="9"/>
  <c r="E47" i="9" s="1"/>
  <c r="G46" i="9"/>
  <c r="E46" i="9"/>
  <c r="J46" i="9" s="1"/>
  <c r="D46" i="9"/>
  <c r="I46" i="9" s="1"/>
  <c r="B46" i="9"/>
  <c r="A46" i="9"/>
  <c r="C46" i="9" s="1"/>
  <c r="O15" i="8"/>
  <c r="J15" i="8"/>
  <c r="C15" i="8"/>
  <c r="B15" i="8"/>
  <c r="O14" i="8"/>
  <c r="J14" i="8"/>
  <c r="C14" i="8"/>
  <c r="B14" i="8"/>
  <c r="O13" i="8"/>
  <c r="J13" i="8"/>
  <c r="C13" i="8"/>
  <c r="B13" i="8"/>
  <c r="O12" i="8"/>
  <c r="J12" i="8"/>
  <c r="C12" i="8"/>
  <c r="B12" i="8"/>
  <c r="O11" i="8"/>
  <c r="J11" i="8"/>
  <c r="C11" i="8"/>
  <c r="B11" i="8"/>
  <c r="O10" i="8"/>
  <c r="J10" i="8"/>
  <c r="C10" i="8"/>
  <c r="B10" i="8"/>
  <c r="O9" i="8"/>
  <c r="J9" i="8"/>
  <c r="C9" i="8"/>
  <c r="B9" i="8"/>
  <c r="O8" i="8"/>
  <c r="J8" i="8"/>
  <c r="C8" i="8"/>
  <c r="B8" i="8"/>
  <c r="O7" i="8"/>
  <c r="J7" i="8"/>
  <c r="C7" i="8"/>
  <c r="B7" i="8"/>
  <c r="O6" i="8"/>
  <c r="J6" i="8"/>
  <c r="C6" i="8"/>
  <c r="B6" i="8"/>
  <c r="C59" i="7"/>
  <c r="C34" i="7"/>
  <c r="C33" i="7"/>
  <c r="C32" i="7"/>
  <c r="C31" i="7"/>
  <c r="C30" i="7"/>
  <c r="C14" i="7"/>
  <c r="C12" i="7"/>
  <c r="C11" i="7"/>
  <c r="C10" i="7"/>
  <c r="C9" i="7"/>
  <c r="C8" i="7"/>
  <c r="C7" i="7"/>
  <c r="C6" i="7"/>
  <c r="U203" i="6"/>
  <c r="Z203" i="6" s="1"/>
  <c r="S203" i="6"/>
  <c r="R203" i="6"/>
  <c r="Q203" i="6"/>
  <c r="P203" i="6"/>
  <c r="L203" i="6"/>
  <c r="M203" i="6" s="1"/>
  <c r="G203" i="6"/>
  <c r="N203" i="6" s="1"/>
  <c r="F203" i="6"/>
  <c r="B203" i="6"/>
  <c r="A203" i="6"/>
  <c r="E203" i="6" s="1"/>
  <c r="Z202" i="6"/>
  <c r="U202" i="6"/>
  <c r="S202" i="6"/>
  <c r="R202" i="6"/>
  <c r="Q202" i="6"/>
  <c r="P202" i="6"/>
  <c r="B202" i="6"/>
  <c r="A202" i="6"/>
  <c r="Z201" i="6"/>
  <c r="U201" i="6"/>
  <c r="S201" i="6"/>
  <c r="R201" i="6"/>
  <c r="Q201" i="6"/>
  <c r="P201" i="6"/>
  <c r="B201" i="6"/>
  <c r="I201" i="6" s="1"/>
  <c r="A201" i="6"/>
  <c r="Z200" i="6"/>
  <c r="U200" i="6"/>
  <c r="S200" i="6"/>
  <c r="R200" i="6"/>
  <c r="Q200" i="6"/>
  <c r="P200" i="6"/>
  <c r="N200" i="6"/>
  <c r="X200" i="6" s="1"/>
  <c r="I200" i="6"/>
  <c r="H200" i="6"/>
  <c r="G200" i="6"/>
  <c r="F200" i="6"/>
  <c r="E200" i="6"/>
  <c r="L200" i="6" s="1"/>
  <c r="M200" i="6" s="1"/>
  <c r="Y200" i="6" s="1"/>
  <c r="AA200" i="6" s="1"/>
  <c r="B200" i="6"/>
  <c r="A200" i="6"/>
  <c r="X199" i="6"/>
  <c r="U199" i="6"/>
  <c r="Z199" i="6" s="1"/>
  <c r="S199" i="6"/>
  <c r="R199" i="6"/>
  <c r="Q199" i="6"/>
  <c r="P199" i="6"/>
  <c r="I199" i="6"/>
  <c r="H199" i="6"/>
  <c r="G199" i="6"/>
  <c r="N199" i="6" s="1"/>
  <c r="F199" i="6"/>
  <c r="E199" i="6"/>
  <c r="L199" i="6" s="1"/>
  <c r="M199" i="6" s="1"/>
  <c r="Y199" i="6" s="1"/>
  <c r="D199" i="6"/>
  <c r="C199" i="6"/>
  <c r="J199" i="6" s="1"/>
  <c r="B199" i="6"/>
  <c r="A199" i="6"/>
  <c r="U198" i="6"/>
  <c r="Z198" i="6" s="1"/>
  <c r="S198" i="6"/>
  <c r="R198" i="6"/>
  <c r="Q198" i="6"/>
  <c r="P198" i="6"/>
  <c r="B198" i="6"/>
  <c r="A198" i="6"/>
  <c r="Z197" i="6"/>
  <c r="X197" i="6"/>
  <c r="U197" i="6"/>
  <c r="S197" i="6"/>
  <c r="R197" i="6"/>
  <c r="Q197" i="6"/>
  <c r="P197" i="6"/>
  <c r="V197" i="6" s="1"/>
  <c r="I197" i="6"/>
  <c r="H197" i="6"/>
  <c r="G197" i="6"/>
  <c r="N197" i="6" s="1"/>
  <c r="F197" i="6"/>
  <c r="E197" i="6"/>
  <c r="D197" i="6"/>
  <c r="C197" i="6"/>
  <c r="J197" i="6" s="1"/>
  <c r="B197" i="6"/>
  <c r="A197" i="6"/>
  <c r="U196" i="6"/>
  <c r="Z196" i="6" s="1"/>
  <c r="S196" i="6"/>
  <c r="R196" i="6"/>
  <c r="Q196" i="6"/>
  <c r="P196" i="6"/>
  <c r="E196" i="6"/>
  <c r="D196" i="6"/>
  <c r="C196" i="6"/>
  <c r="B196" i="6"/>
  <c r="A196" i="6"/>
  <c r="F196" i="6" s="1"/>
  <c r="G196" i="6" s="1"/>
  <c r="U195" i="6"/>
  <c r="Z195" i="6" s="1"/>
  <c r="S195" i="6"/>
  <c r="R195" i="6"/>
  <c r="Q195" i="6"/>
  <c r="P195" i="6"/>
  <c r="V195" i="6" s="1"/>
  <c r="M195" i="6"/>
  <c r="L195" i="6"/>
  <c r="F195" i="6"/>
  <c r="G195" i="6" s="1"/>
  <c r="N195" i="6" s="1"/>
  <c r="E195" i="6"/>
  <c r="D195" i="6"/>
  <c r="C195" i="6"/>
  <c r="J195" i="6" s="1"/>
  <c r="B195" i="6"/>
  <c r="A195" i="6"/>
  <c r="U194" i="6"/>
  <c r="Z194" i="6" s="1"/>
  <c r="S194" i="6"/>
  <c r="R194" i="6"/>
  <c r="Q194" i="6"/>
  <c r="P194" i="6"/>
  <c r="D194" i="6"/>
  <c r="B194" i="6"/>
  <c r="A194" i="6"/>
  <c r="Z193" i="6"/>
  <c r="U193" i="6"/>
  <c r="S193" i="6"/>
  <c r="R193" i="6"/>
  <c r="Q193" i="6"/>
  <c r="P193" i="6"/>
  <c r="M193" i="6"/>
  <c r="Y193" i="6" s="1"/>
  <c r="AA193" i="6" s="1"/>
  <c r="L193" i="6"/>
  <c r="J193" i="6"/>
  <c r="I193" i="6"/>
  <c r="H193" i="6"/>
  <c r="E193" i="6"/>
  <c r="C193" i="6"/>
  <c r="B193" i="6"/>
  <c r="A193" i="6"/>
  <c r="U192" i="6"/>
  <c r="Z192" i="6" s="1"/>
  <c r="S192" i="6"/>
  <c r="R192" i="6"/>
  <c r="Q192" i="6"/>
  <c r="P192" i="6"/>
  <c r="I192" i="6"/>
  <c r="H192" i="6"/>
  <c r="E192" i="6"/>
  <c r="L192" i="6" s="1"/>
  <c r="M192" i="6" s="1"/>
  <c r="Y192" i="6" s="1"/>
  <c r="AA192" i="6" s="1"/>
  <c r="B192" i="6"/>
  <c r="A192" i="6"/>
  <c r="V191" i="6"/>
  <c r="U191" i="6"/>
  <c r="Z191" i="6" s="1"/>
  <c r="S191" i="6"/>
  <c r="R191" i="6"/>
  <c r="Q191" i="6"/>
  <c r="P191" i="6"/>
  <c r="I191" i="6"/>
  <c r="H191" i="6"/>
  <c r="F191" i="6"/>
  <c r="G191" i="6" s="1"/>
  <c r="N191" i="6" s="1"/>
  <c r="X191" i="6" s="1"/>
  <c r="E191" i="6"/>
  <c r="L191" i="6" s="1"/>
  <c r="M191" i="6" s="1"/>
  <c r="Y191" i="6" s="1"/>
  <c r="AA191" i="6" s="1"/>
  <c r="B191" i="6"/>
  <c r="A191" i="6"/>
  <c r="C191" i="6" s="1"/>
  <c r="J191" i="6" s="1"/>
  <c r="U190" i="6"/>
  <c r="Z190" i="6" s="1"/>
  <c r="S190" i="6"/>
  <c r="R190" i="6"/>
  <c r="Q190" i="6"/>
  <c r="P190" i="6"/>
  <c r="E190" i="6"/>
  <c r="D190" i="6"/>
  <c r="B190" i="6"/>
  <c r="A190" i="6"/>
  <c r="F190" i="6" s="1"/>
  <c r="G190" i="6" s="1"/>
  <c r="Z189" i="6"/>
  <c r="X189" i="6"/>
  <c r="U189" i="6"/>
  <c r="S189" i="6"/>
  <c r="R189" i="6"/>
  <c r="Q189" i="6"/>
  <c r="P189" i="6"/>
  <c r="V189" i="6" s="1"/>
  <c r="J189" i="6"/>
  <c r="I189" i="6"/>
  <c r="H189" i="6"/>
  <c r="G189" i="6"/>
  <c r="N189" i="6" s="1"/>
  <c r="F189" i="6"/>
  <c r="E189" i="6"/>
  <c r="D189" i="6"/>
  <c r="C189" i="6"/>
  <c r="B189" i="6"/>
  <c r="A189" i="6"/>
  <c r="U188" i="6"/>
  <c r="Z188" i="6" s="1"/>
  <c r="S188" i="6"/>
  <c r="R188" i="6"/>
  <c r="Q188" i="6"/>
  <c r="P188" i="6"/>
  <c r="F188" i="6"/>
  <c r="G188" i="6" s="1"/>
  <c r="N188" i="6" s="1"/>
  <c r="X188" i="6" s="1"/>
  <c r="E188" i="6"/>
  <c r="C188" i="6"/>
  <c r="J188" i="6" s="1"/>
  <c r="B188" i="6"/>
  <c r="A188" i="6"/>
  <c r="D188" i="6" s="1"/>
  <c r="U187" i="6"/>
  <c r="Z187" i="6" s="1"/>
  <c r="S187" i="6"/>
  <c r="R187" i="6"/>
  <c r="Q187" i="6"/>
  <c r="P187" i="6"/>
  <c r="C187" i="6"/>
  <c r="J187" i="6" s="1"/>
  <c r="B187" i="6"/>
  <c r="A187" i="6"/>
  <c r="Z186" i="6"/>
  <c r="U186" i="6"/>
  <c r="S186" i="6"/>
  <c r="R186" i="6"/>
  <c r="Q186" i="6"/>
  <c r="P186" i="6"/>
  <c r="N186" i="6"/>
  <c r="L186" i="6"/>
  <c r="M186" i="6" s="1"/>
  <c r="Y186" i="6" s="1"/>
  <c r="AA186" i="6" s="1"/>
  <c r="J186" i="6"/>
  <c r="I186" i="6"/>
  <c r="K186" i="6" s="1"/>
  <c r="W186" i="6" s="1"/>
  <c r="G186" i="6"/>
  <c r="E186" i="6"/>
  <c r="D186" i="6"/>
  <c r="C186" i="6"/>
  <c r="B186" i="6"/>
  <c r="H186" i="6" s="1"/>
  <c r="A186" i="6"/>
  <c r="F186" i="6" s="1"/>
  <c r="U185" i="6"/>
  <c r="Z185" i="6" s="1"/>
  <c r="S185" i="6"/>
  <c r="R185" i="6"/>
  <c r="Q185" i="6"/>
  <c r="P185" i="6"/>
  <c r="E185" i="6"/>
  <c r="B185" i="6"/>
  <c r="A185" i="6"/>
  <c r="U184" i="6"/>
  <c r="Z184" i="6" s="1"/>
  <c r="S184" i="6"/>
  <c r="R184" i="6"/>
  <c r="Q184" i="6"/>
  <c r="P184" i="6"/>
  <c r="I184" i="6"/>
  <c r="H184" i="6"/>
  <c r="B184" i="6"/>
  <c r="A184" i="6"/>
  <c r="Z183" i="6"/>
  <c r="U183" i="6"/>
  <c r="S183" i="6"/>
  <c r="R183" i="6"/>
  <c r="Q183" i="6"/>
  <c r="P183" i="6"/>
  <c r="I183" i="6"/>
  <c r="H183" i="6"/>
  <c r="B183" i="6"/>
  <c r="A183" i="6"/>
  <c r="V182" i="6"/>
  <c r="U182" i="6"/>
  <c r="Z182" i="6" s="1"/>
  <c r="S182" i="6"/>
  <c r="R182" i="6"/>
  <c r="Q182" i="6"/>
  <c r="P182" i="6"/>
  <c r="K182" i="6"/>
  <c r="W182" i="6" s="1"/>
  <c r="I182" i="6"/>
  <c r="H182" i="6"/>
  <c r="G182" i="6"/>
  <c r="N182" i="6" s="1"/>
  <c r="X182" i="6" s="1"/>
  <c r="F182" i="6"/>
  <c r="E182" i="6"/>
  <c r="L182" i="6" s="1"/>
  <c r="M182" i="6" s="1"/>
  <c r="Y182" i="6" s="1"/>
  <c r="AA182" i="6" s="1"/>
  <c r="D182" i="6"/>
  <c r="C182" i="6"/>
  <c r="J182" i="6" s="1"/>
  <c r="B182" i="6"/>
  <c r="A182" i="6"/>
  <c r="U181" i="6"/>
  <c r="Z181" i="6" s="1"/>
  <c r="S181" i="6"/>
  <c r="R181" i="6"/>
  <c r="Q181" i="6"/>
  <c r="P181" i="6"/>
  <c r="F181" i="6"/>
  <c r="G181" i="6" s="1"/>
  <c r="N181" i="6" s="1"/>
  <c r="X181" i="6" s="1"/>
  <c r="B181" i="6"/>
  <c r="A181" i="6"/>
  <c r="E181" i="6" s="1"/>
  <c r="U180" i="6"/>
  <c r="Z180" i="6" s="1"/>
  <c r="S180" i="6"/>
  <c r="R180" i="6"/>
  <c r="Q180" i="6"/>
  <c r="P180" i="6"/>
  <c r="I180" i="6"/>
  <c r="H180" i="6"/>
  <c r="B180" i="6"/>
  <c r="A180" i="6"/>
  <c r="U179" i="6"/>
  <c r="Z179" i="6" s="1"/>
  <c r="S179" i="6"/>
  <c r="R179" i="6"/>
  <c r="Q179" i="6"/>
  <c r="P179" i="6"/>
  <c r="E179" i="6"/>
  <c r="D179" i="6"/>
  <c r="B179" i="6"/>
  <c r="A179" i="6"/>
  <c r="F179" i="6" s="1"/>
  <c r="G179" i="6" s="1"/>
  <c r="U178" i="6"/>
  <c r="Z178" i="6" s="1"/>
  <c r="S178" i="6"/>
  <c r="R178" i="6"/>
  <c r="Q178" i="6"/>
  <c r="P178" i="6"/>
  <c r="D178" i="6"/>
  <c r="C178" i="6"/>
  <c r="B178" i="6"/>
  <c r="A178" i="6"/>
  <c r="Z177" i="6"/>
  <c r="U177" i="6"/>
  <c r="S177" i="6"/>
  <c r="R177" i="6"/>
  <c r="Q177" i="6"/>
  <c r="P177" i="6"/>
  <c r="L177" i="6"/>
  <c r="M177" i="6" s="1"/>
  <c r="Y177" i="6" s="1"/>
  <c r="AA177" i="6" s="1"/>
  <c r="J177" i="6"/>
  <c r="I177" i="6"/>
  <c r="H177" i="6"/>
  <c r="E177" i="6"/>
  <c r="C177" i="6"/>
  <c r="B177" i="6"/>
  <c r="A177" i="6"/>
  <c r="U176" i="6"/>
  <c r="Z176" i="6" s="1"/>
  <c r="S176" i="6"/>
  <c r="R176" i="6"/>
  <c r="Q176" i="6"/>
  <c r="P176" i="6"/>
  <c r="I176" i="6"/>
  <c r="H176" i="6"/>
  <c r="B176" i="6"/>
  <c r="A176" i="6"/>
  <c r="U175" i="6"/>
  <c r="Z175" i="6" s="1"/>
  <c r="S175" i="6"/>
  <c r="R175" i="6"/>
  <c r="Q175" i="6"/>
  <c r="P175" i="6"/>
  <c r="I175" i="6"/>
  <c r="H175" i="6"/>
  <c r="D175" i="6"/>
  <c r="K175" i="6" s="1"/>
  <c r="B175" i="6"/>
  <c r="A175" i="6"/>
  <c r="U174" i="6"/>
  <c r="Z174" i="6" s="1"/>
  <c r="S174" i="6"/>
  <c r="R174" i="6"/>
  <c r="Q174" i="6"/>
  <c r="P174" i="6"/>
  <c r="E174" i="6"/>
  <c r="D174" i="6"/>
  <c r="C174" i="6"/>
  <c r="B174" i="6"/>
  <c r="A174" i="6"/>
  <c r="F174" i="6" s="1"/>
  <c r="G174" i="6" s="1"/>
  <c r="Z173" i="6"/>
  <c r="U173" i="6"/>
  <c r="S173" i="6"/>
  <c r="R173" i="6"/>
  <c r="Q173" i="6"/>
  <c r="P173" i="6"/>
  <c r="J173" i="6"/>
  <c r="I173" i="6"/>
  <c r="H173" i="6"/>
  <c r="K173" i="6" s="1"/>
  <c r="W173" i="6" s="1"/>
  <c r="F173" i="6"/>
  <c r="G173" i="6" s="1"/>
  <c r="N173" i="6" s="1"/>
  <c r="X173" i="6" s="1"/>
  <c r="E173" i="6"/>
  <c r="D173" i="6"/>
  <c r="C173" i="6"/>
  <c r="B173" i="6"/>
  <c r="A173" i="6"/>
  <c r="U172" i="6"/>
  <c r="Z172" i="6" s="1"/>
  <c r="S172" i="6"/>
  <c r="R172" i="6"/>
  <c r="Q172" i="6"/>
  <c r="P172" i="6"/>
  <c r="F172" i="6"/>
  <c r="G172" i="6" s="1"/>
  <c r="N172" i="6" s="1"/>
  <c r="B172" i="6"/>
  <c r="A172" i="6"/>
  <c r="E172" i="6" s="1"/>
  <c r="U171" i="6"/>
  <c r="Z171" i="6" s="1"/>
  <c r="S171" i="6"/>
  <c r="R171" i="6"/>
  <c r="Q171" i="6"/>
  <c r="P171" i="6"/>
  <c r="B171" i="6"/>
  <c r="A171" i="6"/>
  <c r="Z170" i="6"/>
  <c r="Y170" i="6"/>
  <c r="AA170" i="6" s="1"/>
  <c r="U170" i="6"/>
  <c r="S170" i="6"/>
  <c r="R170" i="6"/>
  <c r="Q170" i="6"/>
  <c r="P170" i="6"/>
  <c r="L170" i="6"/>
  <c r="M170" i="6" s="1"/>
  <c r="I170" i="6"/>
  <c r="G170" i="6"/>
  <c r="N170" i="6" s="1"/>
  <c r="E170" i="6"/>
  <c r="D170" i="6"/>
  <c r="C170" i="6"/>
  <c r="J170" i="6" s="1"/>
  <c r="B170" i="6"/>
  <c r="H170" i="6" s="1"/>
  <c r="A170" i="6"/>
  <c r="F170" i="6" s="1"/>
  <c r="Z169" i="6"/>
  <c r="U169" i="6"/>
  <c r="S169" i="6"/>
  <c r="R169" i="6"/>
  <c r="Q169" i="6"/>
  <c r="P169" i="6"/>
  <c r="V169" i="6" s="1"/>
  <c r="C169" i="6"/>
  <c r="J169" i="6" s="1"/>
  <c r="B169" i="6"/>
  <c r="A169" i="6"/>
  <c r="U168" i="6"/>
  <c r="Z168" i="6" s="1"/>
  <c r="S168" i="6"/>
  <c r="R168" i="6"/>
  <c r="Q168" i="6"/>
  <c r="P168" i="6"/>
  <c r="I168" i="6"/>
  <c r="H168" i="6"/>
  <c r="B168" i="6"/>
  <c r="A168" i="6"/>
  <c r="Z167" i="6"/>
  <c r="U167" i="6"/>
  <c r="S167" i="6"/>
  <c r="R167" i="6"/>
  <c r="Q167" i="6"/>
  <c r="P167" i="6"/>
  <c r="I167" i="6"/>
  <c r="H167" i="6"/>
  <c r="B167" i="6"/>
  <c r="A167" i="6"/>
  <c r="Z166" i="6"/>
  <c r="V166" i="6"/>
  <c r="U166" i="6"/>
  <c r="S166" i="6"/>
  <c r="R166" i="6"/>
  <c r="Q166" i="6"/>
  <c r="P166" i="6"/>
  <c r="I166" i="6"/>
  <c r="H166" i="6"/>
  <c r="G166" i="6"/>
  <c r="N166" i="6" s="1"/>
  <c r="X166" i="6" s="1"/>
  <c r="F166" i="6"/>
  <c r="E166" i="6"/>
  <c r="L166" i="6" s="1"/>
  <c r="M166" i="6" s="1"/>
  <c r="Y166" i="6" s="1"/>
  <c r="AA166" i="6" s="1"/>
  <c r="D166" i="6"/>
  <c r="C166" i="6"/>
  <c r="J166" i="6" s="1"/>
  <c r="B166" i="6"/>
  <c r="A166" i="6"/>
  <c r="U165" i="6"/>
  <c r="Z165" i="6" s="1"/>
  <c r="S165" i="6"/>
  <c r="X165" i="6" s="1"/>
  <c r="R165" i="6"/>
  <c r="Q165" i="6"/>
  <c r="P165" i="6"/>
  <c r="V165" i="6" s="1"/>
  <c r="G165" i="6"/>
  <c r="N165" i="6" s="1"/>
  <c r="F165" i="6"/>
  <c r="E165" i="6"/>
  <c r="D165" i="6"/>
  <c r="C165" i="6"/>
  <c r="J165" i="6" s="1"/>
  <c r="B165" i="6"/>
  <c r="A165" i="6"/>
  <c r="U164" i="6"/>
  <c r="Z164" i="6" s="1"/>
  <c r="S164" i="6"/>
  <c r="R164" i="6"/>
  <c r="Q164" i="6"/>
  <c r="P164" i="6"/>
  <c r="I164" i="6"/>
  <c r="H164" i="6"/>
  <c r="B164" i="6"/>
  <c r="A164" i="6"/>
  <c r="U163" i="6"/>
  <c r="Z163" i="6" s="1"/>
  <c r="S163" i="6"/>
  <c r="R163" i="6"/>
  <c r="Q163" i="6"/>
  <c r="P163" i="6"/>
  <c r="I163" i="6"/>
  <c r="E163" i="6"/>
  <c r="B163" i="6"/>
  <c r="A163" i="6"/>
  <c r="F163" i="6" s="1"/>
  <c r="G163" i="6" s="1"/>
  <c r="N163" i="6" s="1"/>
  <c r="U162" i="6"/>
  <c r="Z162" i="6" s="1"/>
  <c r="S162" i="6"/>
  <c r="X162" i="6" s="1"/>
  <c r="R162" i="6"/>
  <c r="Q162" i="6"/>
  <c r="P162" i="6"/>
  <c r="V162" i="6" s="1"/>
  <c r="D162" i="6"/>
  <c r="C162" i="6"/>
  <c r="J162" i="6" s="1"/>
  <c r="B162" i="6"/>
  <c r="A162" i="6"/>
  <c r="F162" i="6" s="1"/>
  <c r="G162" i="6" s="1"/>
  <c r="N162" i="6" s="1"/>
  <c r="AA161" i="6"/>
  <c r="Z161" i="6"/>
  <c r="Y161" i="6"/>
  <c r="U161" i="6"/>
  <c r="S161" i="6"/>
  <c r="R161" i="6"/>
  <c r="Q161" i="6"/>
  <c r="P161" i="6"/>
  <c r="M161" i="6"/>
  <c r="L161" i="6"/>
  <c r="J161" i="6"/>
  <c r="I161" i="6"/>
  <c r="H161" i="6"/>
  <c r="E161" i="6"/>
  <c r="C161" i="6"/>
  <c r="B161" i="6"/>
  <c r="A161" i="6"/>
  <c r="U160" i="6"/>
  <c r="Z160" i="6" s="1"/>
  <c r="S160" i="6"/>
  <c r="R160" i="6"/>
  <c r="Q160" i="6"/>
  <c r="P160" i="6"/>
  <c r="I160" i="6"/>
  <c r="H160" i="6"/>
  <c r="F160" i="6"/>
  <c r="G160" i="6" s="1"/>
  <c r="N160" i="6" s="1"/>
  <c r="X160" i="6" s="1"/>
  <c r="B160" i="6"/>
  <c r="A160" i="6"/>
  <c r="D160" i="6" s="1"/>
  <c r="U159" i="6"/>
  <c r="Z159" i="6" s="1"/>
  <c r="S159" i="6"/>
  <c r="R159" i="6"/>
  <c r="Q159" i="6"/>
  <c r="P159" i="6"/>
  <c r="I159" i="6"/>
  <c r="H159" i="6"/>
  <c r="F159" i="6"/>
  <c r="G159" i="6" s="1"/>
  <c r="N159" i="6" s="1"/>
  <c r="X159" i="6" s="1"/>
  <c r="B159" i="6"/>
  <c r="A159" i="6"/>
  <c r="E159" i="6" s="1"/>
  <c r="L159" i="6" s="1"/>
  <c r="M159" i="6" s="1"/>
  <c r="Y159" i="6" s="1"/>
  <c r="AA159" i="6" s="1"/>
  <c r="U158" i="6"/>
  <c r="Z158" i="6" s="1"/>
  <c r="S158" i="6"/>
  <c r="R158" i="6"/>
  <c r="Q158" i="6"/>
  <c r="P158" i="6"/>
  <c r="D158" i="6"/>
  <c r="C158" i="6"/>
  <c r="B158" i="6"/>
  <c r="A158" i="6"/>
  <c r="F158" i="6" s="1"/>
  <c r="G158" i="6" s="1"/>
  <c r="Z157" i="6"/>
  <c r="X157" i="6"/>
  <c r="W157" i="6"/>
  <c r="U157" i="6"/>
  <c r="S157" i="6"/>
  <c r="R157" i="6"/>
  <c r="Q157" i="6"/>
  <c r="P157" i="6"/>
  <c r="I157" i="6"/>
  <c r="K157" i="6" s="1"/>
  <c r="H157" i="6"/>
  <c r="F157" i="6"/>
  <c r="G157" i="6" s="1"/>
  <c r="N157" i="6" s="1"/>
  <c r="E157" i="6"/>
  <c r="D157" i="6"/>
  <c r="C157" i="6"/>
  <c r="J157" i="6" s="1"/>
  <c r="B157" i="6"/>
  <c r="A157" i="6"/>
  <c r="AC156" i="6"/>
  <c r="X156" i="6"/>
  <c r="U156" i="6"/>
  <c r="Z156" i="6" s="1"/>
  <c r="S156" i="6"/>
  <c r="R156" i="6"/>
  <c r="Y156" i="6" s="1"/>
  <c r="AA156" i="6" s="1"/>
  <c r="Q156" i="6"/>
  <c r="P156" i="6"/>
  <c r="I156" i="6"/>
  <c r="H156" i="6"/>
  <c r="G156" i="6"/>
  <c r="N156" i="6" s="1"/>
  <c r="F156" i="6"/>
  <c r="E156" i="6"/>
  <c r="C156" i="6"/>
  <c r="J156" i="6" s="1"/>
  <c r="V156" i="6" s="1"/>
  <c r="B156" i="6"/>
  <c r="L156" i="6" s="1"/>
  <c r="M156" i="6" s="1"/>
  <c r="A156" i="6"/>
  <c r="D156" i="6" s="1"/>
  <c r="K156" i="6" s="1"/>
  <c r="O156" i="6" s="1"/>
  <c r="U155" i="6"/>
  <c r="Z155" i="6" s="1"/>
  <c r="S155" i="6"/>
  <c r="R155" i="6"/>
  <c r="Q155" i="6"/>
  <c r="P155" i="6"/>
  <c r="V155" i="6" s="1"/>
  <c r="C155" i="6"/>
  <c r="J155" i="6" s="1"/>
  <c r="B155" i="6"/>
  <c r="A155" i="6"/>
  <c r="U154" i="6"/>
  <c r="Z154" i="6" s="1"/>
  <c r="S154" i="6"/>
  <c r="R154" i="6"/>
  <c r="Q154" i="6"/>
  <c r="P154" i="6"/>
  <c r="I154" i="6"/>
  <c r="B154" i="6"/>
  <c r="H154" i="6" s="1"/>
  <c r="A154" i="6"/>
  <c r="Z153" i="6"/>
  <c r="U153" i="6"/>
  <c r="S153" i="6"/>
  <c r="R153" i="6"/>
  <c r="Q153" i="6"/>
  <c r="P153" i="6"/>
  <c r="H153" i="6"/>
  <c r="G153" i="6"/>
  <c r="N153" i="6" s="1"/>
  <c r="X153" i="6" s="1"/>
  <c r="F153" i="6"/>
  <c r="E153" i="6"/>
  <c r="D153" i="6"/>
  <c r="C153" i="6"/>
  <c r="B153" i="6"/>
  <c r="A153" i="6"/>
  <c r="U152" i="6"/>
  <c r="Z152" i="6" s="1"/>
  <c r="S152" i="6"/>
  <c r="R152" i="6"/>
  <c r="Q152" i="6"/>
  <c r="P152" i="6"/>
  <c r="H152" i="6"/>
  <c r="G152" i="6"/>
  <c r="N152" i="6" s="1"/>
  <c r="X152" i="6" s="1"/>
  <c r="F152" i="6"/>
  <c r="B152" i="6"/>
  <c r="I152" i="6" s="1"/>
  <c r="A152" i="6"/>
  <c r="U151" i="6"/>
  <c r="Z151" i="6" s="1"/>
  <c r="S151" i="6"/>
  <c r="R151" i="6"/>
  <c r="Q151" i="6"/>
  <c r="P151" i="6"/>
  <c r="F151" i="6"/>
  <c r="G151" i="6" s="1"/>
  <c r="N151" i="6" s="1"/>
  <c r="E151" i="6"/>
  <c r="B151" i="6"/>
  <c r="A151" i="6"/>
  <c r="D151" i="6" s="1"/>
  <c r="Z150" i="6"/>
  <c r="U150" i="6"/>
  <c r="S150" i="6"/>
  <c r="R150" i="6"/>
  <c r="Q150" i="6"/>
  <c r="P150" i="6"/>
  <c r="H150" i="6"/>
  <c r="D150" i="6"/>
  <c r="K150" i="6" s="1"/>
  <c r="C150" i="6"/>
  <c r="J150" i="6" s="1"/>
  <c r="B150" i="6"/>
  <c r="I150" i="6" s="1"/>
  <c r="A150" i="6"/>
  <c r="Z149" i="6"/>
  <c r="U149" i="6"/>
  <c r="S149" i="6"/>
  <c r="R149" i="6"/>
  <c r="Q149" i="6"/>
  <c r="P149" i="6"/>
  <c r="I149" i="6"/>
  <c r="H149" i="6"/>
  <c r="B149" i="6"/>
  <c r="A149" i="6"/>
  <c r="Z148" i="6"/>
  <c r="U148" i="6"/>
  <c r="S148" i="6"/>
  <c r="R148" i="6"/>
  <c r="Q148" i="6"/>
  <c r="P148" i="6"/>
  <c r="M148" i="6"/>
  <c r="Y148" i="6" s="1"/>
  <c r="AA148" i="6" s="1"/>
  <c r="I148" i="6"/>
  <c r="K148" i="6" s="1"/>
  <c r="W148" i="6" s="1"/>
  <c r="H148" i="6"/>
  <c r="F148" i="6"/>
  <c r="G148" i="6" s="1"/>
  <c r="N148" i="6" s="1"/>
  <c r="X148" i="6" s="1"/>
  <c r="D148" i="6"/>
  <c r="B148" i="6"/>
  <c r="A148" i="6"/>
  <c r="E148" i="6" s="1"/>
  <c r="L148" i="6" s="1"/>
  <c r="Z147" i="6"/>
  <c r="U147" i="6"/>
  <c r="S147" i="6"/>
  <c r="R147" i="6"/>
  <c r="Q147" i="6"/>
  <c r="P147" i="6"/>
  <c r="N147" i="6"/>
  <c r="X147" i="6" s="1"/>
  <c r="M147" i="6"/>
  <c r="Y147" i="6" s="1"/>
  <c r="AA147" i="6" s="1"/>
  <c r="L147" i="6"/>
  <c r="K147" i="6"/>
  <c r="W147" i="6" s="1"/>
  <c r="I147" i="6"/>
  <c r="H147" i="6"/>
  <c r="G147" i="6"/>
  <c r="F147" i="6"/>
  <c r="E147" i="6"/>
  <c r="D147" i="6"/>
  <c r="B147" i="6"/>
  <c r="A147" i="6"/>
  <c r="C147" i="6" s="1"/>
  <c r="J147" i="6" s="1"/>
  <c r="X146" i="6"/>
  <c r="V146" i="6"/>
  <c r="U146" i="6"/>
  <c r="Z146" i="6" s="1"/>
  <c r="S146" i="6"/>
  <c r="R146" i="6"/>
  <c r="Q146" i="6"/>
  <c r="P146" i="6"/>
  <c r="F146" i="6"/>
  <c r="G146" i="6" s="1"/>
  <c r="N146" i="6" s="1"/>
  <c r="E146" i="6"/>
  <c r="D146" i="6"/>
  <c r="C146" i="6"/>
  <c r="J146" i="6" s="1"/>
  <c r="B146" i="6"/>
  <c r="A146" i="6"/>
  <c r="Z145" i="6"/>
  <c r="X145" i="6"/>
  <c r="W145" i="6"/>
  <c r="U145" i="6"/>
  <c r="S145" i="6"/>
  <c r="R145" i="6"/>
  <c r="Q145" i="6"/>
  <c r="P145" i="6"/>
  <c r="N145" i="6"/>
  <c r="J145" i="6"/>
  <c r="I145" i="6"/>
  <c r="H145" i="6"/>
  <c r="G145" i="6"/>
  <c r="F145" i="6"/>
  <c r="E145" i="6"/>
  <c r="C145" i="6"/>
  <c r="B145" i="6"/>
  <c r="A145" i="6"/>
  <c r="D145" i="6" s="1"/>
  <c r="K145" i="6" s="1"/>
  <c r="U144" i="6"/>
  <c r="Z144" i="6" s="1"/>
  <c r="S144" i="6"/>
  <c r="R144" i="6"/>
  <c r="Q144" i="6"/>
  <c r="P144" i="6"/>
  <c r="H144" i="6"/>
  <c r="D144" i="6"/>
  <c r="C144" i="6"/>
  <c r="B144" i="6"/>
  <c r="I144" i="6" s="1"/>
  <c r="A144" i="6"/>
  <c r="E144" i="6" s="1"/>
  <c r="Z143" i="6"/>
  <c r="V143" i="6"/>
  <c r="U143" i="6"/>
  <c r="S143" i="6"/>
  <c r="R143" i="6"/>
  <c r="Q143" i="6"/>
  <c r="P143" i="6"/>
  <c r="J143" i="6"/>
  <c r="E143" i="6"/>
  <c r="D143" i="6"/>
  <c r="C143" i="6"/>
  <c r="B143" i="6"/>
  <c r="A143" i="6"/>
  <c r="F143" i="6" s="1"/>
  <c r="G143" i="6" s="1"/>
  <c r="N143" i="6" s="1"/>
  <c r="Z142" i="6"/>
  <c r="U142" i="6"/>
  <c r="S142" i="6"/>
  <c r="R142" i="6"/>
  <c r="Q142" i="6"/>
  <c r="P142" i="6"/>
  <c r="H142" i="6"/>
  <c r="B142" i="6"/>
  <c r="I142" i="6" s="1"/>
  <c r="A142" i="6"/>
  <c r="Z141" i="6"/>
  <c r="U141" i="6"/>
  <c r="S141" i="6"/>
  <c r="R141" i="6"/>
  <c r="Q141" i="6"/>
  <c r="P141" i="6"/>
  <c r="B141" i="6"/>
  <c r="I141" i="6" s="1"/>
  <c r="A141" i="6"/>
  <c r="Z140" i="6"/>
  <c r="U140" i="6"/>
  <c r="S140" i="6"/>
  <c r="R140" i="6"/>
  <c r="Q140" i="6"/>
  <c r="P140" i="6"/>
  <c r="L140" i="6"/>
  <c r="M140" i="6" s="1"/>
  <c r="Y140" i="6" s="1"/>
  <c r="AA140" i="6" s="1"/>
  <c r="I140" i="6"/>
  <c r="H140" i="6"/>
  <c r="F140" i="6"/>
  <c r="G140" i="6" s="1"/>
  <c r="N140" i="6" s="1"/>
  <c r="X140" i="6" s="1"/>
  <c r="D140" i="6"/>
  <c r="K140" i="6" s="1"/>
  <c r="W140" i="6" s="1"/>
  <c r="B140" i="6"/>
  <c r="A140" i="6"/>
  <c r="E140" i="6" s="1"/>
  <c r="U139" i="6"/>
  <c r="Z139" i="6" s="1"/>
  <c r="S139" i="6"/>
  <c r="R139" i="6"/>
  <c r="Q139" i="6"/>
  <c r="P139" i="6"/>
  <c r="I139" i="6"/>
  <c r="H139" i="6"/>
  <c r="K139" i="6" s="1"/>
  <c r="W139" i="6" s="1"/>
  <c r="G139" i="6"/>
  <c r="N139" i="6" s="1"/>
  <c r="X139" i="6" s="1"/>
  <c r="F139" i="6"/>
  <c r="E139" i="6"/>
  <c r="L139" i="6" s="1"/>
  <c r="M139" i="6" s="1"/>
  <c r="Y139" i="6" s="1"/>
  <c r="D139" i="6"/>
  <c r="B139" i="6"/>
  <c r="A139" i="6"/>
  <c r="C139" i="6" s="1"/>
  <c r="J139" i="6" s="1"/>
  <c r="V139" i="6" s="1"/>
  <c r="Z138" i="6"/>
  <c r="U138" i="6"/>
  <c r="S138" i="6"/>
  <c r="R138" i="6"/>
  <c r="Y138" i="6" s="1"/>
  <c r="AA138" i="6" s="1"/>
  <c r="Q138" i="6"/>
  <c r="P138" i="6"/>
  <c r="V138" i="6" s="1"/>
  <c r="L138" i="6"/>
  <c r="M138" i="6" s="1"/>
  <c r="J138" i="6"/>
  <c r="F138" i="6"/>
  <c r="G138" i="6" s="1"/>
  <c r="N138" i="6" s="1"/>
  <c r="E138" i="6"/>
  <c r="D138" i="6"/>
  <c r="C138" i="6"/>
  <c r="B138" i="6"/>
  <c r="A138" i="6"/>
  <c r="U137" i="6"/>
  <c r="Z137" i="6" s="1"/>
  <c r="S137" i="6"/>
  <c r="R137" i="6"/>
  <c r="Q137" i="6"/>
  <c r="P137" i="6"/>
  <c r="I137" i="6"/>
  <c r="H137" i="6"/>
  <c r="B137" i="6"/>
  <c r="A137" i="6"/>
  <c r="U136" i="6"/>
  <c r="Z136" i="6" s="1"/>
  <c r="S136" i="6"/>
  <c r="R136" i="6"/>
  <c r="Q136" i="6"/>
  <c r="P136" i="6"/>
  <c r="B136" i="6"/>
  <c r="A136" i="6"/>
  <c r="Z135" i="6"/>
  <c r="U135" i="6"/>
  <c r="S135" i="6"/>
  <c r="R135" i="6"/>
  <c r="Q135" i="6"/>
  <c r="P135" i="6"/>
  <c r="C135" i="6"/>
  <c r="J135" i="6" s="1"/>
  <c r="B135" i="6"/>
  <c r="A135" i="6"/>
  <c r="Z134" i="6"/>
  <c r="U134" i="6"/>
  <c r="S134" i="6"/>
  <c r="R134" i="6"/>
  <c r="Q134" i="6"/>
  <c r="P134" i="6"/>
  <c r="D134" i="6"/>
  <c r="B134" i="6"/>
  <c r="A134" i="6"/>
  <c r="Z133" i="6"/>
  <c r="U133" i="6"/>
  <c r="S133" i="6"/>
  <c r="R133" i="6"/>
  <c r="Q133" i="6"/>
  <c r="P133" i="6"/>
  <c r="I133" i="6"/>
  <c r="H133" i="6"/>
  <c r="B133" i="6"/>
  <c r="A133" i="6"/>
  <c r="Z132" i="6"/>
  <c r="U132" i="6"/>
  <c r="S132" i="6"/>
  <c r="R132" i="6"/>
  <c r="Q132" i="6"/>
  <c r="P132" i="6"/>
  <c r="I132" i="6"/>
  <c r="H132" i="6"/>
  <c r="G132" i="6"/>
  <c r="N132" i="6" s="1"/>
  <c r="X132" i="6" s="1"/>
  <c r="F132" i="6"/>
  <c r="D132" i="6"/>
  <c r="K132" i="6" s="1"/>
  <c r="W132" i="6" s="1"/>
  <c r="B132" i="6"/>
  <c r="A132" i="6"/>
  <c r="U131" i="6"/>
  <c r="Z131" i="6" s="1"/>
  <c r="S131" i="6"/>
  <c r="R131" i="6"/>
  <c r="Q131" i="6"/>
  <c r="P131" i="6"/>
  <c r="G131" i="6"/>
  <c r="F131" i="6"/>
  <c r="E131" i="6"/>
  <c r="D131" i="6"/>
  <c r="B131" i="6"/>
  <c r="A131" i="6"/>
  <c r="C131" i="6" s="1"/>
  <c r="X130" i="6"/>
  <c r="U130" i="6"/>
  <c r="Z130" i="6" s="1"/>
  <c r="S130" i="6"/>
  <c r="R130" i="6"/>
  <c r="Q130" i="6"/>
  <c r="P130" i="6"/>
  <c r="M130" i="6"/>
  <c r="L130" i="6"/>
  <c r="J130" i="6"/>
  <c r="I130" i="6"/>
  <c r="H130" i="6"/>
  <c r="K130" i="6" s="1"/>
  <c r="W130" i="6" s="1"/>
  <c r="G130" i="6"/>
  <c r="N130" i="6" s="1"/>
  <c r="F130" i="6"/>
  <c r="E130" i="6"/>
  <c r="D130" i="6"/>
  <c r="C130" i="6"/>
  <c r="B130" i="6"/>
  <c r="A130" i="6"/>
  <c r="U129" i="6"/>
  <c r="Z129" i="6" s="1"/>
  <c r="S129" i="6"/>
  <c r="R129" i="6"/>
  <c r="Q129" i="6"/>
  <c r="P129" i="6"/>
  <c r="H129" i="6"/>
  <c r="B129" i="6"/>
  <c r="A129" i="6"/>
  <c r="U128" i="6"/>
  <c r="Z128" i="6" s="1"/>
  <c r="S128" i="6"/>
  <c r="R128" i="6"/>
  <c r="Q128" i="6"/>
  <c r="P128" i="6"/>
  <c r="G128" i="6"/>
  <c r="F128" i="6"/>
  <c r="D128" i="6"/>
  <c r="B128" i="6"/>
  <c r="A128" i="6"/>
  <c r="C128" i="6" s="1"/>
  <c r="U127" i="6"/>
  <c r="Z127" i="6" s="1"/>
  <c r="S127" i="6"/>
  <c r="R127" i="6"/>
  <c r="Q127" i="6"/>
  <c r="P127" i="6"/>
  <c r="B127" i="6"/>
  <c r="A127" i="6"/>
  <c r="Z126" i="6"/>
  <c r="U126" i="6"/>
  <c r="S126" i="6"/>
  <c r="R126" i="6"/>
  <c r="Q126" i="6"/>
  <c r="P126" i="6"/>
  <c r="H126" i="6"/>
  <c r="E126" i="6"/>
  <c r="L126" i="6" s="1"/>
  <c r="M126" i="6" s="1"/>
  <c r="D126" i="6"/>
  <c r="K126" i="6" s="1"/>
  <c r="B126" i="6"/>
  <c r="I126" i="6" s="1"/>
  <c r="A126" i="6"/>
  <c r="Z125" i="6"/>
  <c r="U125" i="6"/>
  <c r="S125" i="6"/>
  <c r="R125" i="6"/>
  <c r="Q125" i="6"/>
  <c r="P125" i="6"/>
  <c r="H125" i="6"/>
  <c r="F125" i="6"/>
  <c r="G125" i="6" s="1"/>
  <c r="N125" i="6" s="1"/>
  <c r="B125" i="6"/>
  <c r="A125" i="6"/>
  <c r="Z124" i="6"/>
  <c r="U124" i="6"/>
  <c r="S124" i="6"/>
  <c r="R124" i="6"/>
  <c r="Q124" i="6"/>
  <c r="W124" i="6" s="1"/>
  <c r="P124" i="6"/>
  <c r="I124" i="6"/>
  <c r="H124" i="6"/>
  <c r="K124" i="6" s="1"/>
  <c r="D124" i="6"/>
  <c r="B124" i="6"/>
  <c r="A124" i="6"/>
  <c r="Z123" i="6"/>
  <c r="Y123" i="6"/>
  <c r="AA123" i="6" s="1"/>
  <c r="X123" i="6"/>
  <c r="W123" i="6"/>
  <c r="U123" i="6"/>
  <c r="S123" i="6"/>
  <c r="R123" i="6"/>
  <c r="Q123" i="6"/>
  <c r="P123" i="6"/>
  <c r="K123" i="6"/>
  <c r="I123" i="6"/>
  <c r="H123" i="6"/>
  <c r="G123" i="6"/>
  <c r="N123" i="6" s="1"/>
  <c r="F123" i="6"/>
  <c r="E123" i="6"/>
  <c r="L123" i="6" s="1"/>
  <c r="M123" i="6" s="1"/>
  <c r="D123" i="6"/>
  <c r="B123" i="6"/>
  <c r="A123" i="6"/>
  <c r="C123" i="6" s="1"/>
  <c r="J123" i="6" s="1"/>
  <c r="U122" i="6"/>
  <c r="Z122" i="6" s="1"/>
  <c r="S122" i="6"/>
  <c r="X122" i="6" s="1"/>
  <c r="R122" i="6"/>
  <c r="Q122" i="6"/>
  <c r="P122" i="6"/>
  <c r="V122" i="6" s="1"/>
  <c r="L122" i="6"/>
  <c r="M122" i="6" s="1"/>
  <c r="Y122" i="6" s="1"/>
  <c r="AA122" i="6" s="1"/>
  <c r="J122" i="6"/>
  <c r="G122" i="6"/>
  <c r="N122" i="6" s="1"/>
  <c r="F122" i="6"/>
  <c r="E122" i="6"/>
  <c r="D122" i="6"/>
  <c r="C122" i="6"/>
  <c r="B122" i="6"/>
  <c r="H122" i="6" s="1"/>
  <c r="A122" i="6"/>
  <c r="U121" i="6"/>
  <c r="Z121" i="6" s="1"/>
  <c r="S121" i="6"/>
  <c r="R121" i="6"/>
  <c r="Q121" i="6"/>
  <c r="P121" i="6"/>
  <c r="H121" i="6"/>
  <c r="D121" i="6"/>
  <c r="C121" i="6"/>
  <c r="J121" i="6" s="1"/>
  <c r="B121" i="6"/>
  <c r="A121" i="6"/>
  <c r="U120" i="6"/>
  <c r="Z120" i="6" s="1"/>
  <c r="S120" i="6"/>
  <c r="R120" i="6"/>
  <c r="Q120" i="6"/>
  <c r="P120" i="6"/>
  <c r="B120" i="6"/>
  <c r="A120" i="6"/>
  <c r="C120" i="6" s="1"/>
  <c r="J120" i="6" s="1"/>
  <c r="Z119" i="6"/>
  <c r="U119" i="6"/>
  <c r="S119" i="6"/>
  <c r="R119" i="6"/>
  <c r="Q119" i="6"/>
  <c r="P119" i="6"/>
  <c r="V119" i="6" s="1"/>
  <c r="L119" i="6"/>
  <c r="M119" i="6" s="1"/>
  <c r="J119" i="6"/>
  <c r="F119" i="6"/>
  <c r="G119" i="6" s="1"/>
  <c r="N119" i="6" s="1"/>
  <c r="E119" i="6"/>
  <c r="D119" i="6"/>
  <c r="C119" i="6"/>
  <c r="B119" i="6"/>
  <c r="A119" i="6"/>
  <c r="U118" i="6"/>
  <c r="Z118" i="6" s="1"/>
  <c r="S118" i="6"/>
  <c r="R118" i="6"/>
  <c r="Q118" i="6"/>
  <c r="P118" i="6"/>
  <c r="H118" i="6"/>
  <c r="B118" i="6"/>
  <c r="I118" i="6" s="1"/>
  <c r="A118" i="6"/>
  <c r="Z117" i="6"/>
  <c r="U117" i="6"/>
  <c r="S117" i="6"/>
  <c r="R117" i="6"/>
  <c r="Q117" i="6"/>
  <c r="P117" i="6"/>
  <c r="I117" i="6"/>
  <c r="B117" i="6"/>
  <c r="A117" i="6"/>
  <c r="Z116" i="6"/>
  <c r="U116" i="6"/>
  <c r="S116" i="6"/>
  <c r="R116" i="6"/>
  <c r="Q116" i="6"/>
  <c r="P116" i="6"/>
  <c r="I116" i="6"/>
  <c r="H116" i="6"/>
  <c r="G116" i="6"/>
  <c r="N116" i="6" s="1"/>
  <c r="X116" i="6" s="1"/>
  <c r="F116" i="6"/>
  <c r="B116" i="6"/>
  <c r="A116" i="6"/>
  <c r="Y115" i="6"/>
  <c r="AA115" i="6" s="1"/>
  <c r="U115" i="6"/>
  <c r="Z115" i="6" s="1"/>
  <c r="S115" i="6"/>
  <c r="R115" i="6"/>
  <c r="Q115" i="6"/>
  <c r="P115" i="6"/>
  <c r="G115" i="6"/>
  <c r="F115" i="6"/>
  <c r="E115" i="6"/>
  <c r="D115" i="6"/>
  <c r="B115" i="6"/>
  <c r="L115" i="6" s="1"/>
  <c r="M115" i="6" s="1"/>
  <c r="A115" i="6"/>
  <c r="C115" i="6" s="1"/>
  <c r="Z114" i="6"/>
  <c r="U114" i="6"/>
  <c r="S114" i="6"/>
  <c r="R114" i="6"/>
  <c r="Y114" i="6" s="1"/>
  <c r="AA114" i="6" s="1"/>
  <c r="Q114" i="6"/>
  <c r="P114" i="6"/>
  <c r="M114" i="6"/>
  <c r="L114" i="6"/>
  <c r="I114" i="6"/>
  <c r="F114" i="6"/>
  <c r="G114" i="6" s="1"/>
  <c r="E114" i="6"/>
  <c r="D114" i="6"/>
  <c r="C114" i="6"/>
  <c r="J114" i="6" s="1"/>
  <c r="B114" i="6"/>
  <c r="H114" i="6" s="1"/>
  <c r="K114" i="6" s="1"/>
  <c r="W114" i="6" s="1"/>
  <c r="A114" i="6"/>
  <c r="Z113" i="6"/>
  <c r="U113" i="6"/>
  <c r="S113" i="6"/>
  <c r="R113" i="6"/>
  <c r="Q113" i="6"/>
  <c r="P113" i="6"/>
  <c r="C113" i="6"/>
  <c r="J113" i="6" s="1"/>
  <c r="B113" i="6"/>
  <c r="A113" i="6"/>
  <c r="F113" i="6" s="1"/>
  <c r="G113" i="6" s="1"/>
  <c r="N113" i="6" s="1"/>
  <c r="X113" i="6" s="1"/>
  <c r="U112" i="6"/>
  <c r="Z112" i="6" s="1"/>
  <c r="S112" i="6"/>
  <c r="R112" i="6"/>
  <c r="Q112" i="6"/>
  <c r="P112" i="6"/>
  <c r="F112" i="6"/>
  <c r="G112" i="6" s="1"/>
  <c r="N112" i="6" s="1"/>
  <c r="D112" i="6"/>
  <c r="C112" i="6"/>
  <c r="B112" i="6"/>
  <c r="H112" i="6" s="1"/>
  <c r="A112" i="6"/>
  <c r="E112" i="6" s="1"/>
  <c r="U111" i="6"/>
  <c r="Z111" i="6" s="1"/>
  <c r="S111" i="6"/>
  <c r="R111" i="6"/>
  <c r="Q111" i="6"/>
  <c r="P111" i="6"/>
  <c r="B111" i="6"/>
  <c r="A111" i="6"/>
  <c r="Z110" i="6"/>
  <c r="U110" i="6"/>
  <c r="S110" i="6"/>
  <c r="R110" i="6"/>
  <c r="Q110" i="6"/>
  <c r="P110" i="6"/>
  <c r="D110" i="6"/>
  <c r="C110" i="6"/>
  <c r="J110" i="6" s="1"/>
  <c r="B110" i="6"/>
  <c r="A110" i="6"/>
  <c r="Z109" i="6"/>
  <c r="U109" i="6"/>
  <c r="S109" i="6"/>
  <c r="R109" i="6"/>
  <c r="Q109" i="6"/>
  <c r="P109" i="6"/>
  <c r="V109" i="6" s="1"/>
  <c r="N109" i="6"/>
  <c r="X109" i="6" s="1"/>
  <c r="J109" i="6"/>
  <c r="H109" i="6"/>
  <c r="F109" i="6"/>
  <c r="G109" i="6" s="1"/>
  <c r="C109" i="6"/>
  <c r="B109" i="6"/>
  <c r="I109" i="6" s="1"/>
  <c r="A109" i="6"/>
  <c r="Z108" i="6"/>
  <c r="U108" i="6"/>
  <c r="S108" i="6"/>
  <c r="R108" i="6"/>
  <c r="Q108" i="6"/>
  <c r="P108" i="6"/>
  <c r="I108" i="6"/>
  <c r="H108" i="6"/>
  <c r="B108" i="6"/>
  <c r="A108" i="6"/>
  <c r="Z107" i="6"/>
  <c r="U107" i="6"/>
  <c r="S107" i="6"/>
  <c r="R107" i="6"/>
  <c r="Q107" i="6"/>
  <c r="P107" i="6"/>
  <c r="N107" i="6"/>
  <c r="X107" i="6" s="1"/>
  <c r="L107" i="6"/>
  <c r="M107" i="6" s="1"/>
  <c r="I107" i="6"/>
  <c r="F107" i="6"/>
  <c r="G107" i="6" s="1"/>
  <c r="E107" i="6"/>
  <c r="D107" i="6"/>
  <c r="B107" i="6"/>
  <c r="H107" i="6" s="1"/>
  <c r="A107" i="6"/>
  <c r="C107" i="6" s="1"/>
  <c r="J107" i="6" s="1"/>
  <c r="V107" i="6" s="1"/>
  <c r="Z106" i="6"/>
  <c r="V106" i="6"/>
  <c r="U106" i="6"/>
  <c r="S106" i="6"/>
  <c r="R106" i="6"/>
  <c r="Y106" i="6" s="1"/>
  <c r="AA106" i="6" s="1"/>
  <c r="Q106" i="6"/>
  <c r="P106" i="6"/>
  <c r="M106" i="6"/>
  <c r="L106" i="6"/>
  <c r="I106" i="6"/>
  <c r="H106" i="6"/>
  <c r="F106" i="6"/>
  <c r="G106" i="6" s="1"/>
  <c r="N106" i="6" s="1"/>
  <c r="X106" i="6" s="1"/>
  <c r="E106" i="6"/>
  <c r="D106" i="6"/>
  <c r="K106" i="6" s="1"/>
  <c r="W106" i="6" s="1"/>
  <c r="C106" i="6"/>
  <c r="J106" i="6" s="1"/>
  <c r="B106" i="6"/>
  <c r="A106" i="6"/>
  <c r="Z105" i="6"/>
  <c r="U105" i="6"/>
  <c r="S105" i="6"/>
  <c r="R105" i="6"/>
  <c r="Q105" i="6"/>
  <c r="P105" i="6"/>
  <c r="V105" i="6" s="1"/>
  <c r="N105" i="6"/>
  <c r="J105" i="6"/>
  <c r="H105" i="6"/>
  <c r="F105" i="6"/>
  <c r="G105" i="6" s="1"/>
  <c r="E105" i="6"/>
  <c r="D105" i="6"/>
  <c r="C105" i="6"/>
  <c r="B105" i="6"/>
  <c r="A105" i="6"/>
  <c r="U104" i="6"/>
  <c r="Z104" i="6" s="1"/>
  <c r="S104" i="6"/>
  <c r="R104" i="6"/>
  <c r="Q104" i="6"/>
  <c r="P104" i="6"/>
  <c r="E104" i="6"/>
  <c r="D104" i="6"/>
  <c r="B104" i="6"/>
  <c r="A104" i="6"/>
  <c r="U103" i="6"/>
  <c r="Z103" i="6" s="1"/>
  <c r="S103" i="6"/>
  <c r="R103" i="6"/>
  <c r="Q103" i="6"/>
  <c r="P103" i="6"/>
  <c r="L103" i="6"/>
  <c r="M103" i="6" s="1"/>
  <c r="J103" i="6"/>
  <c r="V103" i="6" s="1"/>
  <c r="G103" i="6"/>
  <c r="N103" i="6" s="1"/>
  <c r="F103" i="6"/>
  <c r="E103" i="6"/>
  <c r="C103" i="6"/>
  <c r="B103" i="6"/>
  <c r="A103" i="6"/>
  <c r="D103" i="6" s="1"/>
  <c r="Z102" i="6"/>
  <c r="U102" i="6"/>
  <c r="S102" i="6"/>
  <c r="R102" i="6"/>
  <c r="Q102" i="6"/>
  <c r="P102" i="6"/>
  <c r="L102" i="6"/>
  <c r="M102" i="6" s="1"/>
  <c r="E102" i="6"/>
  <c r="D102" i="6"/>
  <c r="B102" i="6"/>
  <c r="A102" i="6"/>
  <c r="Z101" i="6"/>
  <c r="U101" i="6"/>
  <c r="S101" i="6"/>
  <c r="X101" i="6" s="1"/>
  <c r="R101" i="6"/>
  <c r="Q101" i="6"/>
  <c r="P101" i="6"/>
  <c r="V101" i="6" s="1"/>
  <c r="J101" i="6"/>
  <c r="H101" i="6"/>
  <c r="F101" i="6"/>
  <c r="G101" i="6" s="1"/>
  <c r="N101" i="6" s="1"/>
  <c r="C101" i="6"/>
  <c r="B101" i="6"/>
  <c r="A101" i="6"/>
  <c r="Z100" i="6"/>
  <c r="U100" i="6"/>
  <c r="S100" i="6"/>
  <c r="R100" i="6"/>
  <c r="Q100" i="6"/>
  <c r="P100" i="6"/>
  <c r="I100" i="6"/>
  <c r="H100" i="6"/>
  <c r="B100" i="6"/>
  <c r="A100" i="6"/>
  <c r="Z99" i="6"/>
  <c r="X99" i="6"/>
  <c r="U99" i="6"/>
  <c r="S99" i="6"/>
  <c r="R99" i="6"/>
  <c r="Q99" i="6"/>
  <c r="P99" i="6"/>
  <c r="N99" i="6"/>
  <c r="H99" i="6"/>
  <c r="K99" i="6" s="1"/>
  <c r="W99" i="6" s="1"/>
  <c r="G99" i="6"/>
  <c r="F99" i="6"/>
  <c r="E99" i="6"/>
  <c r="L99" i="6" s="1"/>
  <c r="M99" i="6" s="1"/>
  <c r="D99" i="6"/>
  <c r="B99" i="6"/>
  <c r="I99" i="6" s="1"/>
  <c r="A99" i="6"/>
  <c r="C99" i="6" s="1"/>
  <c r="J99" i="6" s="1"/>
  <c r="Z98" i="6"/>
  <c r="U98" i="6"/>
  <c r="S98" i="6"/>
  <c r="R98" i="6"/>
  <c r="Q98" i="6"/>
  <c r="P98" i="6"/>
  <c r="F98" i="6"/>
  <c r="G98" i="6" s="1"/>
  <c r="E98" i="6"/>
  <c r="D98" i="6"/>
  <c r="C98" i="6"/>
  <c r="B98" i="6"/>
  <c r="A98" i="6"/>
  <c r="U97" i="6"/>
  <c r="Z97" i="6" s="1"/>
  <c r="S97" i="6"/>
  <c r="R97" i="6"/>
  <c r="Q97" i="6"/>
  <c r="P97" i="6"/>
  <c r="J97" i="6"/>
  <c r="I97" i="6"/>
  <c r="D97" i="6"/>
  <c r="C97" i="6"/>
  <c r="B97" i="6"/>
  <c r="A97" i="6"/>
  <c r="F97" i="6" s="1"/>
  <c r="G97" i="6" s="1"/>
  <c r="N97" i="6" s="1"/>
  <c r="X97" i="6" s="1"/>
  <c r="U96" i="6"/>
  <c r="Z96" i="6" s="1"/>
  <c r="S96" i="6"/>
  <c r="R96" i="6"/>
  <c r="Q96" i="6"/>
  <c r="P96" i="6"/>
  <c r="B96" i="6"/>
  <c r="A96" i="6"/>
  <c r="Z95" i="6"/>
  <c r="U95" i="6"/>
  <c r="S95" i="6"/>
  <c r="R95" i="6"/>
  <c r="Q95" i="6"/>
  <c r="P95" i="6"/>
  <c r="F95" i="6"/>
  <c r="G95" i="6" s="1"/>
  <c r="N95" i="6" s="1"/>
  <c r="D95" i="6"/>
  <c r="B95" i="6"/>
  <c r="A95" i="6"/>
  <c r="U94" i="6"/>
  <c r="Z94" i="6" s="1"/>
  <c r="S94" i="6"/>
  <c r="R94" i="6"/>
  <c r="Q94" i="6"/>
  <c r="P94" i="6"/>
  <c r="B94" i="6"/>
  <c r="A94" i="6"/>
  <c r="Z93" i="6"/>
  <c r="U93" i="6"/>
  <c r="S93" i="6"/>
  <c r="R93" i="6"/>
  <c r="Q93" i="6"/>
  <c r="P93" i="6"/>
  <c r="J93" i="6"/>
  <c r="I93" i="6"/>
  <c r="H93" i="6"/>
  <c r="C93" i="6"/>
  <c r="B93" i="6"/>
  <c r="A93" i="6"/>
  <c r="Z92" i="6"/>
  <c r="U92" i="6"/>
  <c r="S92" i="6"/>
  <c r="R92" i="6"/>
  <c r="Q92" i="6"/>
  <c r="P92" i="6"/>
  <c r="I92" i="6"/>
  <c r="H92" i="6"/>
  <c r="B92" i="6"/>
  <c r="A92" i="6"/>
  <c r="Z91" i="6"/>
  <c r="U91" i="6"/>
  <c r="S91" i="6"/>
  <c r="R91" i="6"/>
  <c r="Q91" i="6"/>
  <c r="P91" i="6"/>
  <c r="N91" i="6"/>
  <c r="X91" i="6" s="1"/>
  <c r="L91" i="6"/>
  <c r="M91" i="6" s="1"/>
  <c r="J91" i="6"/>
  <c r="V91" i="6" s="1"/>
  <c r="F91" i="6"/>
  <c r="G91" i="6" s="1"/>
  <c r="E91" i="6"/>
  <c r="D91" i="6"/>
  <c r="B91" i="6"/>
  <c r="I91" i="6" s="1"/>
  <c r="A91" i="6"/>
  <c r="C91" i="6" s="1"/>
  <c r="U90" i="6"/>
  <c r="Z90" i="6" s="1"/>
  <c r="S90" i="6"/>
  <c r="R90" i="6"/>
  <c r="Q90" i="6"/>
  <c r="P90" i="6"/>
  <c r="I90" i="6"/>
  <c r="H90" i="6"/>
  <c r="K90" i="6" s="1"/>
  <c r="W90" i="6" s="1"/>
  <c r="F90" i="6"/>
  <c r="G90" i="6" s="1"/>
  <c r="N90" i="6" s="1"/>
  <c r="X90" i="6" s="1"/>
  <c r="E90" i="6"/>
  <c r="D90" i="6"/>
  <c r="C90" i="6"/>
  <c r="J90" i="6" s="1"/>
  <c r="B90" i="6"/>
  <c r="L90" i="6" s="1"/>
  <c r="M90" i="6" s="1"/>
  <c r="Y90" i="6" s="1"/>
  <c r="A90" i="6"/>
  <c r="U89" i="6"/>
  <c r="Z89" i="6" s="1"/>
  <c r="S89" i="6"/>
  <c r="R89" i="6"/>
  <c r="Q89" i="6"/>
  <c r="P89" i="6"/>
  <c r="C89" i="6"/>
  <c r="B89" i="6"/>
  <c r="A89" i="6"/>
  <c r="Y88" i="6"/>
  <c r="AA88" i="6" s="1"/>
  <c r="U88" i="6"/>
  <c r="Z88" i="6" s="1"/>
  <c r="S88" i="6"/>
  <c r="R88" i="6"/>
  <c r="Q88" i="6"/>
  <c r="P88" i="6"/>
  <c r="I88" i="6"/>
  <c r="H88" i="6"/>
  <c r="G88" i="6"/>
  <c r="N88" i="6" s="1"/>
  <c r="F88" i="6"/>
  <c r="E88" i="6"/>
  <c r="L88" i="6" s="1"/>
  <c r="M88" i="6" s="1"/>
  <c r="C88" i="6"/>
  <c r="J88" i="6" s="1"/>
  <c r="B88" i="6"/>
  <c r="A88" i="6"/>
  <c r="D88" i="6" s="1"/>
  <c r="U87" i="6"/>
  <c r="Z87" i="6" s="1"/>
  <c r="S87" i="6"/>
  <c r="R87" i="6"/>
  <c r="Q87" i="6"/>
  <c r="P87" i="6"/>
  <c r="B87" i="6"/>
  <c r="A87" i="6"/>
  <c r="Z86" i="6"/>
  <c r="U86" i="6"/>
  <c r="S86" i="6"/>
  <c r="R86" i="6"/>
  <c r="Q86" i="6"/>
  <c r="P86" i="6"/>
  <c r="H86" i="6"/>
  <c r="E86" i="6"/>
  <c r="L86" i="6" s="1"/>
  <c r="M86" i="6" s="1"/>
  <c r="D86" i="6"/>
  <c r="K86" i="6" s="1"/>
  <c r="B86" i="6"/>
  <c r="I86" i="6" s="1"/>
  <c r="A86" i="6"/>
  <c r="F86" i="6" s="1"/>
  <c r="G86" i="6" s="1"/>
  <c r="N86" i="6" s="1"/>
  <c r="Z85" i="6"/>
  <c r="U85" i="6"/>
  <c r="S85" i="6"/>
  <c r="R85" i="6"/>
  <c r="Q85" i="6"/>
  <c r="P85" i="6"/>
  <c r="B85" i="6"/>
  <c r="A85" i="6"/>
  <c r="Z84" i="6"/>
  <c r="U84" i="6"/>
  <c r="S84" i="6"/>
  <c r="R84" i="6"/>
  <c r="Q84" i="6"/>
  <c r="P84" i="6"/>
  <c r="N84" i="6"/>
  <c r="M84" i="6"/>
  <c r="L84" i="6"/>
  <c r="K84" i="6"/>
  <c r="W84" i="6" s="1"/>
  <c r="J84" i="6"/>
  <c r="V84" i="6" s="1"/>
  <c r="H84" i="6"/>
  <c r="F84" i="6"/>
  <c r="G84" i="6" s="1"/>
  <c r="E84" i="6"/>
  <c r="D84" i="6"/>
  <c r="C84" i="6"/>
  <c r="B84" i="6"/>
  <c r="I84" i="6" s="1"/>
  <c r="A84" i="6"/>
  <c r="U83" i="6"/>
  <c r="Z83" i="6" s="1"/>
  <c r="S83" i="6"/>
  <c r="X83" i="6" s="1"/>
  <c r="R83" i="6"/>
  <c r="Q83" i="6"/>
  <c r="P83" i="6"/>
  <c r="I83" i="6"/>
  <c r="H83" i="6"/>
  <c r="F83" i="6"/>
  <c r="G83" i="6" s="1"/>
  <c r="N83" i="6" s="1"/>
  <c r="E83" i="6"/>
  <c r="D83" i="6"/>
  <c r="K83" i="6" s="1"/>
  <c r="B83" i="6"/>
  <c r="A83" i="6"/>
  <c r="C83" i="6" s="1"/>
  <c r="J83" i="6" s="1"/>
  <c r="Z82" i="6"/>
  <c r="U82" i="6"/>
  <c r="S82" i="6"/>
  <c r="R82" i="6"/>
  <c r="Q82" i="6"/>
  <c r="P82" i="6"/>
  <c r="C82" i="6"/>
  <c r="B82" i="6"/>
  <c r="A82" i="6"/>
  <c r="E82" i="6" s="1"/>
  <c r="U81" i="6"/>
  <c r="Z81" i="6" s="1"/>
  <c r="S81" i="6"/>
  <c r="R81" i="6"/>
  <c r="Q81" i="6"/>
  <c r="P81" i="6"/>
  <c r="B81" i="6"/>
  <c r="A81" i="6"/>
  <c r="Z80" i="6"/>
  <c r="U80" i="6"/>
  <c r="S80" i="6"/>
  <c r="R80" i="6"/>
  <c r="Q80" i="6"/>
  <c r="P80" i="6"/>
  <c r="L80" i="6"/>
  <c r="M80" i="6" s="1"/>
  <c r="J80" i="6"/>
  <c r="G80" i="6"/>
  <c r="N80" i="6" s="1"/>
  <c r="X80" i="6" s="1"/>
  <c r="F80" i="6"/>
  <c r="E80" i="6"/>
  <c r="D80" i="6"/>
  <c r="C80" i="6"/>
  <c r="B80" i="6"/>
  <c r="A80" i="6"/>
  <c r="Z79" i="6"/>
  <c r="U79" i="6"/>
  <c r="S79" i="6"/>
  <c r="R79" i="6"/>
  <c r="Q79" i="6"/>
  <c r="P79" i="6"/>
  <c r="V79" i="6" s="1"/>
  <c r="N79" i="6"/>
  <c r="X79" i="6" s="1"/>
  <c r="L79" i="6"/>
  <c r="M79" i="6" s="1"/>
  <c r="J79" i="6"/>
  <c r="I79" i="6"/>
  <c r="G79" i="6"/>
  <c r="F79" i="6"/>
  <c r="D79" i="6"/>
  <c r="K79" i="6" s="1"/>
  <c r="W79" i="6" s="1"/>
  <c r="C79" i="6"/>
  <c r="B79" i="6"/>
  <c r="H79" i="6" s="1"/>
  <c r="A79" i="6"/>
  <c r="E79" i="6" s="1"/>
  <c r="Z78" i="6"/>
  <c r="X78" i="6"/>
  <c r="V78" i="6"/>
  <c r="AB78" i="6" s="1"/>
  <c r="U78" i="6"/>
  <c r="S78" i="6"/>
  <c r="R78" i="6"/>
  <c r="Q78" i="6"/>
  <c r="P78" i="6"/>
  <c r="I78" i="6"/>
  <c r="H78" i="6"/>
  <c r="F78" i="6"/>
  <c r="G78" i="6" s="1"/>
  <c r="N78" i="6" s="1"/>
  <c r="E78" i="6"/>
  <c r="C78" i="6"/>
  <c r="J78" i="6" s="1"/>
  <c r="B78" i="6"/>
  <c r="L78" i="6" s="1"/>
  <c r="M78" i="6" s="1"/>
  <c r="Y78" i="6" s="1"/>
  <c r="AA78" i="6" s="1"/>
  <c r="A78" i="6"/>
  <c r="D78" i="6" s="1"/>
  <c r="K78" i="6" s="1"/>
  <c r="W78" i="6" s="1"/>
  <c r="U77" i="6"/>
  <c r="Z77" i="6" s="1"/>
  <c r="S77" i="6"/>
  <c r="R77" i="6"/>
  <c r="Q77" i="6"/>
  <c r="P77" i="6"/>
  <c r="V77" i="6" s="1"/>
  <c r="G77" i="6"/>
  <c r="N77" i="6" s="1"/>
  <c r="F77" i="6"/>
  <c r="E77" i="6"/>
  <c r="L77" i="6" s="1"/>
  <c r="M77" i="6" s="1"/>
  <c r="C77" i="6"/>
  <c r="J77" i="6" s="1"/>
  <c r="B77" i="6"/>
  <c r="A77" i="6"/>
  <c r="D77" i="6" s="1"/>
  <c r="Z76" i="6"/>
  <c r="U76" i="6"/>
  <c r="S76" i="6"/>
  <c r="R76" i="6"/>
  <c r="Q76" i="6"/>
  <c r="P76" i="6"/>
  <c r="V76" i="6" s="1"/>
  <c r="C76" i="6"/>
  <c r="J76" i="6" s="1"/>
  <c r="B76" i="6"/>
  <c r="I76" i="6" s="1"/>
  <c r="A76" i="6"/>
  <c r="U75" i="6"/>
  <c r="Z75" i="6" s="1"/>
  <c r="S75" i="6"/>
  <c r="R75" i="6"/>
  <c r="Q75" i="6"/>
  <c r="P75" i="6"/>
  <c r="V75" i="6" s="1"/>
  <c r="N75" i="6"/>
  <c r="X75" i="6" s="1"/>
  <c r="H75" i="6"/>
  <c r="K75" i="6" s="1"/>
  <c r="F75" i="6"/>
  <c r="G75" i="6" s="1"/>
  <c r="D75" i="6"/>
  <c r="C75" i="6"/>
  <c r="J75" i="6" s="1"/>
  <c r="B75" i="6"/>
  <c r="I75" i="6" s="1"/>
  <c r="A75" i="6"/>
  <c r="E75" i="6" s="1"/>
  <c r="L75" i="6" s="1"/>
  <c r="M75" i="6" s="1"/>
  <c r="Y75" i="6" s="1"/>
  <c r="AA75" i="6" s="1"/>
  <c r="Z74" i="6"/>
  <c r="U74" i="6"/>
  <c r="S74" i="6"/>
  <c r="R74" i="6"/>
  <c r="Q74" i="6"/>
  <c r="P74" i="6"/>
  <c r="I74" i="6"/>
  <c r="H74" i="6"/>
  <c r="D74" i="6"/>
  <c r="B74" i="6"/>
  <c r="A74" i="6"/>
  <c r="Z73" i="6"/>
  <c r="U73" i="6"/>
  <c r="S73" i="6"/>
  <c r="R73" i="6"/>
  <c r="Y73" i="6" s="1"/>
  <c r="AA73" i="6" s="1"/>
  <c r="Q73" i="6"/>
  <c r="P73" i="6"/>
  <c r="N73" i="6"/>
  <c r="X73" i="6" s="1"/>
  <c r="I73" i="6"/>
  <c r="G73" i="6"/>
  <c r="F73" i="6"/>
  <c r="E73" i="6"/>
  <c r="D73" i="6"/>
  <c r="B73" i="6"/>
  <c r="L73" i="6" s="1"/>
  <c r="M73" i="6" s="1"/>
  <c r="A73" i="6"/>
  <c r="C73" i="6" s="1"/>
  <c r="J73" i="6" s="1"/>
  <c r="V72" i="6"/>
  <c r="U72" i="6"/>
  <c r="Z72" i="6" s="1"/>
  <c r="S72" i="6"/>
  <c r="R72" i="6"/>
  <c r="Q72" i="6"/>
  <c r="P72" i="6"/>
  <c r="G72" i="6"/>
  <c r="F72" i="6"/>
  <c r="E72" i="6"/>
  <c r="D72" i="6"/>
  <c r="C72" i="6"/>
  <c r="J72" i="6" s="1"/>
  <c r="B72" i="6"/>
  <c r="I72" i="6" s="1"/>
  <c r="A72" i="6"/>
  <c r="U71" i="6"/>
  <c r="Z71" i="6" s="1"/>
  <c r="S71" i="6"/>
  <c r="R71" i="6"/>
  <c r="Q71" i="6"/>
  <c r="P71" i="6"/>
  <c r="F71" i="6"/>
  <c r="G71" i="6" s="1"/>
  <c r="E71" i="6"/>
  <c r="D71" i="6"/>
  <c r="C71" i="6"/>
  <c r="J71" i="6" s="1"/>
  <c r="B71" i="6"/>
  <c r="A71" i="6"/>
  <c r="Z70" i="6"/>
  <c r="U70" i="6"/>
  <c r="S70" i="6"/>
  <c r="R70" i="6"/>
  <c r="Q70" i="6"/>
  <c r="P70" i="6"/>
  <c r="V70" i="6" s="1"/>
  <c r="I70" i="6"/>
  <c r="D70" i="6"/>
  <c r="C70" i="6"/>
  <c r="J70" i="6" s="1"/>
  <c r="B70" i="6"/>
  <c r="H70" i="6" s="1"/>
  <c r="A70" i="6"/>
  <c r="Z69" i="6"/>
  <c r="U69" i="6"/>
  <c r="S69" i="6"/>
  <c r="R69" i="6"/>
  <c r="Q69" i="6"/>
  <c r="P69" i="6"/>
  <c r="F69" i="6"/>
  <c r="G69" i="6" s="1"/>
  <c r="N69" i="6" s="1"/>
  <c r="X69" i="6" s="1"/>
  <c r="B69" i="6"/>
  <c r="A69" i="6"/>
  <c r="Z68" i="6"/>
  <c r="W68" i="6"/>
  <c r="U68" i="6"/>
  <c r="S68" i="6"/>
  <c r="R68" i="6"/>
  <c r="Q68" i="6"/>
  <c r="P68" i="6"/>
  <c r="K68" i="6"/>
  <c r="J68" i="6"/>
  <c r="H68" i="6"/>
  <c r="G68" i="6"/>
  <c r="N68" i="6" s="1"/>
  <c r="X68" i="6" s="1"/>
  <c r="F68" i="6"/>
  <c r="E68" i="6"/>
  <c r="L68" i="6" s="1"/>
  <c r="M68" i="6" s="1"/>
  <c r="D68" i="6"/>
  <c r="C68" i="6"/>
  <c r="B68" i="6"/>
  <c r="I68" i="6" s="1"/>
  <c r="A68" i="6"/>
  <c r="U67" i="6"/>
  <c r="Z67" i="6" s="1"/>
  <c r="S67" i="6"/>
  <c r="R67" i="6"/>
  <c r="Q67" i="6"/>
  <c r="P67" i="6"/>
  <c r="F67" i="6"/>
  <c r="G67" i="6" s="1"/>
  <c r="E67" i="6"/>
  <c r="D67" i="6"/>
  <c r="C67" i="6"/>
  <c r="J67" i="6" s="1"/>
  <c r="V67" i="6" s="1"/>
  <c r="B67" i="6"/>
  <c r="N67" i="6" s="1"/>
  <c r="A67" i="6"/>
  <c r="Z66" i="6"/>
  <c r="U66" i="6"/>
  <c r="S66" i="6"/>
  <c r="R66" i="6"/>
  <c r="Q66" i="6"/>
  <c r="P66" i="6"/>
  <c r="L66" i="6"/>
  <c r="M66" i="6" s="1"/>
  <c r="Y66" i="6" s="1"/>
  <c r="AA66" i="6" s="1"/>
  <c r="J66" i="6"/>
  <c r="I66" i="6"/>
  <c r="H66" i="6"/>
  <c r="K66" i="6" s="1"/>
  <c r="F66" i="6"/>
  <c r="G66" i="6" s="1"/>
  <c r="N66" i="6" s="1"/>
  <c r="D66" i="6"/>
  <c r="C66" i="6"/>
  <c r="B66" i="6"/>
  <c r="A66" i="6"/>
  <c r="E66" i="6" s="1"/>
  <c r="U65" i="6"/>
  <c r="Z65" i="6" s="1"/>
  <c r="S65" i="6"/>
  <c r="R65" i="6"/>
  <c r="Q65" i="6"/>
  <c r="P65" i="6"/>
  <c r="E65" i="6"/>
  <c r="D65" i="6"/>
  <c r="B65" i="6"/>
  <c r="A65" i="6"/>
  <c r="C65" i="6" s="1"/>
  <c r="J65" i="6" s="1"/>
  <c r="X64" i="6"/>
  <c r="U64" i="6"/>
  <c r="Z64" i="6" s="1"/>
  <c r="S64" i="6"/>
  <c r="R64" i="6"/>
  <c r="Q64" i="6"/>
  <c r="P64" i="6"/>
  <c r="H64" i="6"/>
  <c r="F64" i="6"/>
  <c r="G64" i="6" s="1"/>
  <c r="N64" i="6" s="1"/>
  <c r="E64" i="6"/>
  <c r="L64" i="6" s="1"/>
  <c r="M64" i="6" s="1"/>
  <c r="D64" i="6"/>
  <c r="K64" i="6" s="1"/>
  <c r="W64" i="6" s="1"/>
  <c r="C64" i="6"/>
  <c r="B64" i="6"/>
  <c r="I64" i="6" s="1"/>
  <c r="A64" i="6"/>
  <c r="Z63" i="6"/>
  <c r="U63" i="6"/>
  <c r="S63" i="6"/>
  <c r="R63" i="6"/>
  <c r="Q63" i="6"/>
  <c r="P63" i="6"/>
  <c r="B63" i="6"/>
  <c r="A63" i="6"/>
  <c r="F63" i="6" s="1"/>
  <c r="G63" i="6" s="1"/>
  <c r="N63" i="6" s="1"/>
  <c r="Z62" i="6"/>
  <c r="U62" i="6"/>
  <c r="S62" i="6"/>
  <c r="R62" i="6"/>
  <c r="Q62" i="6"/>
  <c r="P62" i="6"/>
  <c r="H62" i="6"/>
  <c r="B62" i="6"/>
  <c r="A62" i="6"/>
  <c r="C62" i="6" s="1"/>
  <c r="J62" i="6" s="1"/>
  <c r="Z61" i="6"/>
  <c r="U61" i="6"/>
  <c r="S61" i="6"/>
  <c r="R61" i="6"/>
  <c r="Q61" i="6"/>
  <c r="P61" i="6"/>
  <c r="I61" i="6"/>
  <c r="F61" i="6"/>
  <c r="G61" i="6" s="1"/>
  <c r="N61" i="6" s="1"/>
  <c r="X61" i="6" s="1"/>
  <c r="B61" i="6"/>
  <c r="H61" i="6" s="1"/>
  <c r="A61" i="6"/>
  <c r="X60" i="6"/>
  <c r="U60" i="6"/>
  <c r="Z60" i="6" s="1"/>
  <c r="S60" i="6"/>
  <c r="R60" i="6"/>
  <c r="Q60" i="6"/>
  <c r="P60" i="6"/>
  <c r="N60" i="6"/>
  <c r="J60" i="6"/>
  <c r="H60" i="6"/>
  <c r="G60" i="6"/>
  <c r="F60" i="6"/>
  <c r="E60" i="6"/>
  <c r="L60" i="6" s="1"/>
  <c r="M60" i="6" s="1"/>
  <c r="D60" i="6"/>
  <c r="C60" i="6"/>
  <c r="B60" i="6"/>
  <c r="I60" i="6" s="1"/>
  <c r="A60" i="6"/>
  <c r="U59" i="6"/>
  <c r="Z59" i="6" s="1"/>
  <c r="S59" i="6"/>
  <c r="X59" i="6" s="1"/>
  <c r="R59" i="6"/>
  <c r="Y59" i="6" s="1"/>
  <c r="AA59" i="6" s="1"/>
  <c r="Q59" i="6"/>
  <c r="P59" i="6"/>
  <c r="N59" i="6"/>
  <c r="M59" i="6"/>
  <c r="L59" i="6"/>
  <c r="F59" i="6"/>
  <c r="G59" i="6" s="1"/>
  <c r="E59" i="6"/>
  <c r="D59" i="6"/>
  <c r="C59" i="6"/>
  <c r="J59" i="6" s="1"/>
  <c r="B59" i="6"/>
  <c r="I59" i="6" s="1"/>
  <c r="A59" i="6"/>
  <c r="Z58" i="6"/>
  <c r="U58" i="6"/>
  <c r="S58" i="6"/>
  <c r="R58" i="6"/>
  <c r="Q58" i="6"/>
  <c r="P58" i="6"/>
  <c r="G58" i="6"/>
  <c r="F58" i="6"/>
  <c r="D58" i="6"/>
  <c r="C58" i="6"/>
  <c r="B58" i="6"/>
  <c r="A58" i="6"/>
  <c r="E58" i="6" s="1"/>
  <c r="U57" i="6"/>
  <c r="Z57" i="6" s="1"/>
  <c r="S57" i="6"/>
  <c r="R57" i="6"/>
  <c r="Q57" i="6"/>
  <c r="P57" i="6"/>
  <c r="V57" i="6" s="1"/>
  <c r="J57" i="6"/>
  <c r="H57" i="6"/>
  <c r="B57" i="6"/>
  <c r="A57" i="6"/>
  <c r="C57" i="6" s="1"/>
  <c r="U56" i="6"/>
  <c r="Z56" i="6" s="1"/>
  <c r="S56" i="6"/>
  <c r="R56" i="6"/>
  <c r="Q56" i="6"/>
  <c r="P56" i="6"/>
  <c r="F56" i="6"/>
  <c r="G56" i="6" s="1"/>
  <c r="N56" i="6" s="1"/>
  <c r="X56" i="6" s="1"/>
  <c r="E56" i="6"/>
  <c r="D56" i="6"/>
  <c r="C56" i="6"/>
  <c r="B56" i="6"/>
  <c r="A56" i="6"/>
  <c r="U55" i="6"/>
  <c r="Z55" i="6" s="1"/>
  <c r="S55" i="6"/>
  <c r="R55" i="6"/>
  <c r="Q55" i="6"/>
  <c r="P55" i="6"/>
  <c r="B55" i="6"/>
  <c r="A55" i="6"/>
  <c r="F55" i="6" s="1"/>
  <c r="G55" i="6" s="1"/>
  <c r="N55" i="6" s="1"/>
  <c r="Z54" i="6"/>
  <c r="U54" i="6"/>
  <c r="S54" i="6"/>
  <c r="R54" i="6"/>
  <c r="Q54" i="6"/>
  <c r="P54" i="6"/>
  <c r="H54" i="6"/>
  <c r="B54" i="6"/>
  <c r="A54" i="6"/>
  <c r="C54" i="6" s="1"/>
  <c r="J54" i="6" s="1"/>
  <c r="AD53" i="6"/>
  <c r="Z53" i="6"/>
  <c r="U53" i="6"/>
  <c r="S53" i="6"/>
  <c r="R53" i="6"/>
  <c r="Q53" i="6"/>
  <c r="P53" i="6"/>
  <c r="N53" i="6"/>
  <c r="X53" i="6" s="1"/>
  <c r="H53" i="6"/>
  <c r="G53" i="6"/>
  <c r="F53" i="6"/>
  <c r="B53" i="6"/>
  <c r="I53" i="6" s="1"/>
  <c r="A53" i="6"/>
  <c r="X52" i="6"/>
  <c r="V52" i="6"/>
  <c r="U52" i="6"/>
  <c r="Z52" i="6" s="1"/>
  <c r="T52" i="6"/>
  <c r="S52" i="6"/>
  <c r="R52" i="6"/>
  <c r="Q52" i="6"/>
  <c r="P52" i="6"/>
  <c r="J52" i="6"/>
  <c r="H52" i="6"/>
  <c r="G52" i="6"/>
  <c r="N52" i="6" s="1"/>
  <c r="F52" i="6"/>
  <c r="E52" i="6"/>
  <c r="L52" i="6" s="1"/>
  <c r="M52" i="6" s="1"/>
  <c r="D52" i="6"/>
  <c r="K52" i="6" s="1"/>
  <c r="W52" i="6" s="1"/>
  <c r="C52" i="6"/>
  <c r="B52" i="6"/>
  <c r="I52" i="6" s="1"/>
  <c r="A52" i="6"/>
  <c r="U51" i="6"/>
  <c r="Z51" i="6" s="1"/>
  <c r="T51" i="6"/>
  <c r="S51" i="6"/>
  <c r="R51" i="6"/>
  <c r="Q51" i="6"/>
  <c r="P51" i="6"/>
  <c r="F51" i="6"/>
  <c r="G51" i="6" s="1"/>
  <c r="E51" i="6"/>
  <c r="D51" i="6"/>
  <c r="C51" i="6"/>
  <c r="J51" i="6" s="1"/>
  <c r="B51" i="6"/>
  <c r="A51" i="6"/>
  <c r="AA50" i="6"/>
  <c r="Z50" i="6"/>
  <c r="U50" i="6"/>
  <c r="S50" i="6"/>
  <c r="R50" i="6"/>
  <c r="Q50" i="6"/>
  <c r="P50" i="6"/>
  <c r="L50" i="6"/>
  <c r="M50" i="6" s="1"/>
  <c r="Y50" i="6" s="1"/>
  <c r="I50" i="6"/>
  <c r="B50" i="6"/>
  <c r="H50" i="6" s="1"/>
  <c r="A50" i="6"/>
  <c r="E50" i="6" s="1"/>
  <c r="U49" i="6"/>
  <c r="Z49" i="6" s="1"/>
  <c r="T49" i="6"/>
  <c r="S49" i="6"/>
  <c r="R49" i="6"/>
  <c r="Q49" i="6"/>
  <c r="P49" i="6"/>
  <c r="D49" i="6"/>
  <c r="B49" i="6"/>
  <c r="A49" i="6"/>
  <c r="U48" i="6"/>
  <c r="Z48" i="6" s="1"/>
  <c r="S48" i="6"/>
  <c r="R48" i="6"/>
  <c r="Q48" i="6"/>
  <c r="P48" i="6"/>
  <c r="V48" i="6" s="1"/>
  <c r="N48" i="6"/>
  <c r="H48" i="6"/>
  <c r="G48" i="6"/>
  <c r="F48" i="6"/>
  <c r="E48" i="6"/>
  <c r="D48" i="6"/>
  <c r="K48" i="6" s="1"/>
  <c r="W48" i="6" s="1"/>
  <c r="C48" i="6"/>
  <c r="J48" i="6" s="1"/>
  <c r="B48" i="6"/>
  <c r="I48" i="6" s="1"/>
  <c r="A48" i="6"/>
  <c r="Z47" i="6"/>
  <c r="X47" i="6"/>
  <c r="U47" i="6"/>
  <c r="S47" i="6"/>
  <c r="R47" i="6"/>
  <c r="Q47" i="6"/>
  <c r="P47" i="6"/>
  <c r="J47" i="6"/>
  <c r="O47" i="6" s="1"/>
  <c r="AC47" i="6" s="1"/>
  <c r="H47" i="6"/>
  <c r="F47" i="6"/>
  <c r="G47" i="6" s="1"/>
  <c r="N47" i="6" s="1"/>
  <c r="E47" i="6"/>
  <c r="L47" i="6" s="1"/>
  <c r="M47" i="6" s="1"/>
  <c r="D47" i="6"/>
  <c r="K47" i="6" s="1"/>
  <c r="B47" i="6"/>
  <c r="I47" i="6" s="1"/>
  <c r="A47" i="6"/>
  <c r="C47" i="6" s="1"/>
  <c r="Z46" i="6"/>
  <c r="U46" i="6"/>
  <c r="S46" i="6"/>
  <c r="R46" i="6"/>
  <c r="Q46" i="6"/>
  <c r="P46" i="6"/>
  <c r="B46" i="6"/>
  <c r="A46" i="6"/>
  <c r="Z45" i="6"/>
  <c r="U45" i="6"/>
  <c r="S45" i="6"/>
  <c r="R45" i="6"/>
  <c r="Q45" i="6"/>
  <c r="P45" i="6"/>
  <c r="N45" i="6"/>
  <c r="X45" i="6" s="1"/>
  <c r="I45" i="6"/>
  <c r="G45" i="6"/>
  <c r="F45" i="6"/>
  <c r="D45" i="6"/>
  <c r="B45" i="6"/>
  <c r="H45" i="6" s="1"/>
  <c r="A45" i="6"/>
  <c r="U44" i="6"/>
  <c r="Z44" i="6" s="1"/>
  <c r="S44" i="6"/>
  <c r="R44" i="6"/>
  <c r="Q44" i="6"/>
  <c r="P44" i="6"/>
  <c r="G44" i="6"/>
  <c r="F44" i="6"/>
  <c r="E44" i="6"/>
  <c r="D44" i="6"/>
  <c r="B44" i="6"/>
  <c r="A44" i="6"/>
  <c r="C44" i="6" s="1"/>
  <c r="U43" i="6"/>
  <c r="Z43" i="6" s="1"/>
  <c r="S43" i="6"/>
  <c r="X43" i="6" s="1"/>
  <c r="R43" i="6"/>
  <c r="Y43" i="6" s="1"/>
  <c r="AA43" i="6" s="1"/>
  <c r="Q43" i="6"/>
  <c r="P43" i="6"/>
  <c r="N43" i="6"/>
  <c r="F43" i="6"/>
  <c r="G43" i="6" s="1"/>
  <c r="E43" i="6"/>
  <c r="D43" i="6"/>
  <c r="C43" i="6"/>
  <c r="J43" i="6" s="1"/>
  <c r="B43" i="6"/>
  <c r="L43" i="6" s="1"/>
  <c r="M43" i="6" s="1"/>
  <c r="A43" i="6"/>
  <c r="Z42" i="6"/>
  <c r="U42" i="6"/>
  <c r="S42" i="6"/>
  <c r="X42" i="6" s="1"/>
  <c r="R42" i="6"/>
  <c r="Y42" i="6" s="1"/>
  <c r="AA42" i="6" s="1"/>
  <c r="Q42" i="6"/>
  <c r="P42" i="6"/>
  <c r="V42" i="6" s="1"/>
  <c r="L42" i="6"/>
  <c r="M42" i="6" s="1"/>
  <c r="J42" i="6"/>
  <c r="I42" i="6"/>
  <c r="H42" i="6"/>
  <c r="F42" i="6"/>
  <c r="G42" i="6" s="1"/>
  <c r="N42" i="6" s="1"/>
  <c r="D42" i="6"/>
  <c r="C42" i="6"/>
  <c r="B42" i="6"/>
  <c r="A42" i="6"/>
  <c r="E42" i="6" s="1"/>
  <c r="U41" i="6"/>
  <c r="Z41" i="6" s="1"/>
  <c r="T41" i="6"/>
  <c r="S41" i="6"/>
  <c r="R41" i="6"/>
  <c r="Q41" i="6"/>
  <c r="P41" i="6"/>
  <c r="E41" i="6"/>
  <c r="B41" i="6"/>
  <c r="A41" i="6"/>
  <c r="U40" i="6"/>
  <c r="Z40" i="6" s="1"/>
  <c r="S40" i="6"/>
  <c r="R40" i="6"/>
  <c r="Q40" i="6"/>
  <c r="P40" i="6"/>
  <c r="V40" i="6" s="1"/>
  <c r="N40" i="6"/>
  <c r="X40" i="6" s="1"/>
  <c r="M40" i="6"/>
  <c r="L40" i="6"/>
  <c r="G40" i="6"/>
  <c r="F40" i="6"/>
  <c r="E40" i="6"/>
  <c r="D40" i="6"/>
  <c r="C40" i="6"/>
  <c r="J40" i="6" s="1"/>
  <c r="B40" i="6"/>
  <c r="I40" i="6" s="1"/>
  <c r="A40" i="6"/>
  <c r="Z39" i="6"/>
  <c r="U39" i="6"/>
  <c r="S39" i="6"/>
  <c r="R39" i="6"/>
  <c r="Q39" i="6"/>
  <c r="P39" i="6"/>
  <c r="H39" i="6"/>
  <c r="F39" i="6"/>
  <c r="G39" i="6" s="1"/>
  <c r="N39" i="6" s="1"/>
  <c r="X39" i="6" s="1"/>
  <c r="E39" i="6"/>
  <c r="L39" i="6" s="1"/>
  <c r="M39" i="6" s="1"/>
  <c r="D39" i="6"/>
  <c r="C39" i="6"/>
  <c r="J39" i="6" s="1"/>
  <c r="V39" i="6" s="1"/>
  <c r="B39" i="6"/>
  <c r="I39" i="6" s="1"/>
  <c r="A39" i="6"/>
  <c r="Z38" i="6"/>
  <c r="U38" i="6"/>
  <c r="S38" i="6"/>
  <c r="R38" i="6"/>
  <c r="Q38" i="6"/>
  <c r="P38" i="6"/>
  <c r="B38" i="6"/>
  <c r="L38" i="6" s="1"/>
  <c r="M38" i="6" s="1"/>
  <c r="A38" i="6"/>
  <c r="E38" i="6" s="1"/>
  <c r="AD37" i="6"/>
  <c r="Z37" i="6"/>
  <c r="U37" i="6"/>
  <c r="S37" i="6"/>
  <c r="R37" i="6"/>
  <c r="Q37" i="6"/>
  <c r="P37" i="6"/>
  <c r="I37" i="6"/>
  <c r="H37" i="6"/>
  <c r="F37" i="6"/>
  <c r="G37" i="6" s="1"/>
  <c r="N37" i="6" s="1"/>
  <c r="X37" i="6" s="1"/>
  <c r="D37" i="6"/>
  <c r="B37" i="6"/>
  <c r="A37" i="6"/>
  <c r="U36" i="6"/>
  <c r="Z36" i="6" s="1"/>
  <c r="S36" i="6"/>
  <c r="R36" i="6"/>
  <c r="Q36" i="6"/>
  <c r="P36" i="6"/>
  <c r="F36" i="6"/>
  <c r="G36" i="6" s="1"/>
  <c r="N36" i="6" s="1"/>
  <c r="X36" i="6" s="1"/>
  <c r="E36" i="6"/>
  <c r="D36" i="6"/>
  <c r="B36" i="6"/>
  <c r="A36" i="6"/>
  <c r="C36" i="6" s="1"/>
  <c r="J36" i="6" s="1"/>
  <c r="V36" i="6" s="1"/>
  <c r="U35" i="6"/>
  <c r="Z35" i="6" s="1"/>
  <c r="S35" i="6"/>
  <c r="X35" i="6" s="1"/>
  <c r="R35" i="6"/>
  <c r="Q35" i="6"/>
  <c r="P35" i="6"/>
  <c r="N35" i="6"/>
  <c r="F35" i="6"/>
  <c r="G35" i="6" s="1"/>
  <c r="E35" i="6"/>
  <c r="D35" i="6"/>
  <c r="C35" i="6"/>
  <c r="B35" i="6"/>
  <c r="L35" i="6" s="1"/>
  <c r="M35" i="6" s="1"/>
  <c r="A35" i="6"/>
  <c r="AD34" i="6"/>
  <c r="AA34" i="6"/>
  <c r="Z34" i="6"/>
  <c r="Y34" i="6"/>
  <c r="U34" i="6"/>
  <c r="S34" i="6"/>
  <c r="R34" i="6"/>
  <c r="Q34" i="6"/>
  <c r="P34" i="6"/>
  <c r="L34" i="6"/>
  <c r="M34" i="6" s="1"/>
  <c r="J34" i="6"/>
  <c r="I34" i="6"/>
  <c r="H34" i="6"/>
  <c r="K34" i="6" s="1"/>
  <c r="D34" i="6"/>
  <c r="C34" i="6"/>
  <c r="B34" i="6"/>
  <c r="A34" i="6"/>
  <c r="E34" i="6" s="1"/>
  <c r="U33" i="6"/>
  <c r="Z33" i="6" s="1"/>
  <c r="S33" i="6"/>
  <c r="R33" i="6"/>
  <c r="Q33" i="6"/>
  <c r="P33" i="6"/>
  <c r="D33" i="6"/>
  <c r="B33" i="6"/>
  <c r="A33" i="6"/>
  <c r="AD32" i="6"/>
  <c r="Z32" i="6"/>
  <c r="U32" i="6"/>
  <c r="S32" i="6"/>
  <c r="X32" i="6" s="1"/>
  <c r="R32" i="6"/>
  <c r="Q32" i="6"/>
  <c r="P32" i="6"/>
  <c r="N32" i="6"/>
  <c r="L32" i="6"/>
  <c r="M32" i="6" s="1"/>
  <c r="J32" i="6"/>
  <c r="G32" i="6"/>
  <c r="F32" i="6"/>
  <c r="E32" i="6"/>
  <c r="D32" i="6"/>
  <c r="C32" i="6"/>
  <c r="B32" i="6"/>
  <c r="I32" i="6" s="1"/>
  <c r="A32" i="6"/>
  <c r="U31" i="6"/>
  <c r="Z31" i="6" s="1"/>
  <c r="S31" i="6"/>
  <c r="R31" i="6"/>
  <c r="Q31" i="6"/>
  <c r="P31" i="6"/>
  <c r="H31" i="6"/>
  <c r="F31" i="6"/>
  <c r="G31" i="6" s="1"/>
  <c r="N31" i="6" s="1"/>
  <c r="X31" i="6" s="1"/>
  <c r="E31" i="6"/>
  <c r="D31" i="6"/>
  <c r="C31" i="6"/>
  <c r="J31" i="6" s="1"/>
  <c r="V31" i="6" s="1"/>
  <c r="B31" i="6"/>
  <c r="A31" i="6"/>
  <c r="Z30" i="6"/>
  <c r="U30" i="6"/>
  <c r="S30" i="6"/>
  <c r="R30" i="6"/>
  <c r="Q30" i="6"/>
  <c r="P30" i="6"/>
  <c r="I30" i="6"/>
  <c r="H30" i="6"/>
  <c r="B30" i="6"/>
  <c r="L30" i="6" s="1"/>
  <c r="M30" i="6" s="1"/>
  <c r="A30" i="6"/>
  <c r="E30" i="6" s="1"/>
  <c r="Z29" i="6"/>
  <c r="U29" i="6"/>
  <c r="S29" i="6"/>
  <c r="R29" i="6"/>
  <c r="Q29" i="6"/>
  <c r="P29" i="6"/>
  <c r="I29" i="6"/>
  <c r="H29" i="6"/>
  <c r="D29" i="6"/>
  <c r="B29" i="6"/>
  <c r="A29" i="6"/>
  <c r="U28" i="6"/>
  <c r="Z28" i="6" s="1"/>
  <c r="S28" i="6"/>
  <c r="R28" i="6"/>
  <c r="Q28" i="6"/>
  <c r="P28" i="6"/>
  <c r="F28" i="6"/>
  <c r="G28" i="6" s="1"/>
  <c r="E28" i="6"/>
  <c r="D28" i="6"/>
  <c r="B28" i="6"/>
  <c r="A28" i="6"/>
  <c r="C28" i="6" s="1"/>
  <c r="J28" i="6" s="1"/>
  <c r="V28" i="6" s="1"/>
  <c r="AD27" i="6"/>
  <c r="U27" i="6"/>
  <c r="Z27" i="6" s="1"/>
  <c r="S27" i="6"/>
  <c r="X27" i="6" s="1"/>
  <c r="R27" i="6"/>
  <c r="Q27" i="6"/>
  <c r="P27" i="6"/>
  <c r="N27" i="6"/>
  <c r="L27" i="6"/>
  <c r="M27" i="6" s="1"/>
  <c r="I27" i="6"/>
  <c r="H27" i="6"/>
  <c r="F27" i="6"/>
  <c r="G27" i="6" s="1"/>
  <c r="E27" i="6"/>
  <c r="D27" i="6"/>
  <c r="K27" i="6" s="1"/>
  <c r="C27" i="6"/>
  <c r="J27" i="6" s="1"/>
  <c r="B27" i="6"/>
  <c r="A27" i="6"/>
  <c r="AA26" i="6"/>
  <c r="Z26" i="6"/>
  <c r="Y26" i="6"/>
  <c r="U26" i="6"/>
  <c r="S26" i="6"/>
  <c r="R26" i="6"/>
  <c r="Q26" i="6"/>
  <c r="P26" i="6"/>
  <c r="L26" i="6"/>
  <c r="M26" i="6" s="1"/>
  <c r="J26" i="6"/>
  <c r="I26" i="6"/>
  <c r="H26" i="6"/>
  <c r="F26" i="6"/>
  <c r="G26" i="6" s="1"/>
  <c r="N26" i="6" s="1"/>
  <c r="X26" i="6" s="1"/>
  <c r="C26" i="6"/>
  <c r="B26" i="6"/>
  <c r="A26" i="6"/>
  <c r="E26" i="6" s="1"/>
  <c r="U25" i="6"/>
  <c r="Z25" i="6" s="1"/>
  <c r="S25" i="6"/>
  <c r="R25" i="6"/>
  <c r="Q25" i="6"/>
  <c r="P25" i="6"/>
  <c r="B25" i="6"/>
  <c r="A25" i="6"/>
  <c r="AD24" i="6"/>
  <c r="U24" i="6"/>
  <c r="Z24" i="6" s="1"/>
  <c r="S24" i="6"/>
  <c r="R24" i="6"/>
  <c r="Q24" i="6"/>
  <c r="P24" i="6"/>
  <c r="L24" i="6"/>
  <c r="M24" i="6" s="1"/>
  <c r="J24" i="6"/>
  <c r="H24" i="6"/>
  <c r="F24" i="6"/>
  <c r="G24" i="6" s="1"/>
  <c r="N24" i="6" s="1"/>
  <c r="X24" i="6" s="1"/>
  <c r="E24" i="6"/>
  <c r="D24" i="6"/>
  <c r="C24" i="6"/>
  <c r="B24" i="6"/>
  <c r="I24" i="6" s="1"/>
  <c r="A24" i="6"/>
  <c r="U23" i="6"/>
  <c r="Z23" i="6" s="1"/>
  <c r="S23" i="6"/>
  <c r="R23" i="6"/>
  <c r="Q23" i="6"/>
  <c r="P23" i="6"/>
  <c r="H23" i="6"/>
  <c r="F23" i="6"/>
  <c r="G23" i="6" s="1"/>
  <c r="N23" i="6" s="1"/>
  <c r="X23" i="6" s="1"/>
  <c r="E23" i="6"/>
  <c r="D23" i="6"/>
  <c r="C23" i="6"/>
  <c r="J23" i="6" s="1"/>
  <c r="V23" i="6" s="1"/>
  <c r="B23" i="6"/>
  <c r="A23" i="6"/>
  <c r="Z22" i="6"/>
  <c r="U22" i="6"/>
  <c r="S22" i="6"/>
  <c r="R22" i="6"/>
  <c r="Q22" i="6"/>
  <c r="P22" i="6"/>
  <c r="I22" i="6"/>
  <c r="H22" i="6"/>
  <c r="B22" i="6"/>
  <c r="A22" i="6"/>
  <c r="Z21" i="6"/>
  <c r="U21" i="6"/>
  <c r="S21" i="6"/>
  <c r="R21" i="6"/>
  <c r="Q21" i="6"/>
  <c r="P21" i="6"/>
  <c r="N21" i="6"/>
  <c r="I21" i="6"/>
  <c r="B21" i="6"/>
  <c r="H21" i="6" s="1"/>
  <c r="A21" i="6"/>
  <c r="F21" i="6" s="1"/>
  <c r="G21" i="6" s="1"/>
  <c r="Z20" i="6"/>
  <c r="Y20" i="6"/>
  <c r="AA20" i="6" s="1"/>
  <c r="U20" i="6"/>
  <c r="S20" i="6"/>
  <c r="R20" i="6"/>
  <c r="Q20" i="6"/>
  <c r="P20" i="6"/>
  <c r="V20" i="6" s="1"/>
  <c r="M20" i="6"/>
  <c r="L20" i="6"/>
  <c r="J20" i="6"/>
  <c r="I20" i="6"/>
  <c r="H20" i="6"/>
  <c r="K20" i="6" s="1"/>
  <c r="W20" i="6" s="1"/>
  <c r="E20" i="6"/>
  <c r="D20" i="6"/>
  <c r="C20" i="6"/>
  <c r="B20" i="6"/>
  <c r="A20" i="6"/>
  <c r="F20" i="6" s="1"/>
  <c r="G20" i="6" s="1"/>
  <c r="N20" i="6" s="1"/>
  <c r="X20" i="6" s="1"/>
  <c r="Z19" i="6"/>
  <c r="U19" i="6"/>
  <c r="S19" i="6"/>
  <c r="R19" i="6"/>
  <c r="Q19" i="6"/>
  <c r="P19" i="6"/>
  <c r="J19" i="6"/>
  <c r="I19" i="6"/>
  <c r="H19" i="6"/>
  <c r="K19" i="6" s="1"/>
  <c r="W19" i="6" s="1"/>
  <c r="F19" i="6"/>
  <c r="G19" i="6" s="1"/>
  <c r="N19" i="6" s="1"/>
  <c r="X19" i="6" s="1"/>
  <c r="E19" i="6"/>
  <c r="C19" i="6"/>
  <c r="B19" i="6"/>
  <c r="A19" i="6"/>
  <c r="D19" i="6" s="1"/>
  <c r="V18" i="6"/>
  <c r="U18" i="6"/>
  <c r="Z18" i="6" s="1"/>
  <c r="S18" i="6"/>
  <c r="X18" i="6" s="1"/>
  <c r="R18" i="6"/>
  <c r="Q18" i="6"/>
  <c r="P18" i="6"/>
  <c r="I18" i="6"/>
  <c r="H18" i="6"/>
  <c r="F18" i="6"/>
  <c r="G18" i="6" s="1"/>
  <c r="N18" i="6" s="1"/>
  <c r="E18" i="6"/>
  <c r="L18" i="6" s="1"/>
  <c r="M18" i="6" s="1"/>
  <c r="Y18" i="6" s="1"/>
  <c r="AA18" i="6" s="1"/>
  <c r="D18" i="6"/>
  <c r="C18" i="6"/>
  <c r="J18" i="6" s="1"/>
  <c r="B18" i="6"/>
  <c r="A18" i="6"/>
  <c r="U17" i="6"/>
  <c r="Z17" i="6" s="1"/>
  <c r="S17" i="6"/>
  <c r="R17" i="6"/>
  <c r="Q17" i="6"/>
  <c r="P17" i="6"/>
  <c r="F17" i="6"/>
  <c r="G17" i="6" s="1"/>
  <c r="N17" i="6" s="1"/>
  <c r="E17" i="6"/>
  <c r="D17" i="6"/>
  <c r="C17" i="6"/>
  <c r="J17" i="6" s="1"/>
  <c r="V17" i="6" s="1"/>
  <c r="B17" i="6"/>
  <c r="A17" i="6"/>
  <c r="U16" i="6"/>
  <c r="Z16" i="6" s="1"/>
  <c r="S16" i="6"/>
  <c r="R16" i="6"/>
  <c r="Q16" i="6"/>
  <c r="P16" i="6"/>
  <c r="B16" i="6"/>
  <c r="A16" i="6"/>
  <c r="F16" i="6" s="1"/>
  <c r="G16" i="6" s="1"/>
  <c r="N16" i="6" s="1"/>
  <c r="U15" i="6"/>
  <c r="Z15" i="6" s="1"/>
  <c r="S15" i="6"/>
  <c r="R15" i="6"/>
  <c r="Q15" i="6"/>
  <c r="P15" i="6"/>
  <c r="B15" i="6"/>
  <c r="A15" i="6"/>
  <c r="AD14" i="6"/>
  <c r="U14" i="6"/>
  <c r="Z14" i="6" s="1"/>
  <c r="S14" i="6"/>
  <c r="R14" i="6"/>
  <c r="Q14" i="6"/>
  <c r="P14" i="6"/>
  <c r="I14" i="6"/>
  <c r="H14" i="6"/>
  <c r="B14" i="6"/>
  <c r="A14" i="6"/>
  <c r="Z13" i="6"/>
  <c r="U13" i="6"/>
  <c r="S13" i="6"/>
  <c r="R13" i="6"/>
  <c r="Q13" i="6"/>
  <c r="P13" i="6"/>
  <c r="N13" i="6"/>
  <c r="I13" i="6"/>
  <c r="B13" i="6"/>
  <c r="H13" i="6" s="1"/>
  <c r="A13" i="6"/>
  <c r="F13" i="6" s="1"/>
  <c r="G13" i="6" s="1"/>
  <c r="Z12" i="6"/>
  <c r="W12" i="6"/>
  <c r="U12" i="6"/>
  <c r="S12" i="6"/>
  <c r="R12" i="6"/>
  <c r="Q12" i="6"/>
  <c r="P12" i="6"/>
  <c r="V12" i="6" s="1"/>
  <c r="M12" i="6"/>
  <c r="Y12" i="6" s="1"/>
  <c r="AA12" i="6" s="1"/>
  <c r="L12" i="6"/>
  <c r="K12" i="6"/>
  <c r="J12" i="6"/>
  <c r="I12" i="6"/>
  <c r="H12" i="6"/>
  <c r="E12" i="6"/>
  <c r="D12" i="6"/>
  <c r="C12" i="6"/>
  <c r="B12" i="6"/>
  <c r="A12" i="6"/>
  <c r="F12" i="6" s="1"/>
  <c r="G12" i="6" s="1"/>
  <c r="N12" i="6" s="1"/>
  <c r="X12" i="6" s="1"/>
  <c r="Z11" i="6"/>
  <c r="V11" i="6"/>
  <c r="U11" i="6"/>
  <c r="S11" i="6"/>
  <c r="R11" i="6"/>
  <c r="Q11" i="6"/>
  <c r="P11" i="6"/>
  <c r="J11" i="6"/>
  <c r="I11" i="6"/>
  <c r="H11" i="6"/>
  <c r="F11" i="6"/>
  <c r="G11" i="6" s="1"/>
  <c r="N11" i="6" s="1"/>
  <c r="X11" i="6" s="1"/>
  <c r="E11" i="6"/>
  <c r="C11" i="6"/>
  <c r="B11" i="6"/>
  <c r="L11" i="6" s="1"/>
  <c r="M11" i="6" s="1"/>
  <c r="Y11" i="6" s="1"/>
  <c r="AA11" i="6" s="1"/>
  <c r="A11" i="6"/>
  <c r="D11" i="6" s="1"/>
  <c r="K11" i="6" s="1"/>
  <c r="W11" i="6" s="1"/>
  <c r="U10" i="6"/>
  <c r="Z10" i="6" s="1"/>
  <c r="S10" i="6"/>
  <c r="R10" i="6"/>
  <c r="Q10" i="6"/>
  <c r="P10" i="6"/>
  <c r="I10" i="6"/>
  <c r="H10" i="6"/>
  <c r="F10" i="6"/>
  <c r="G10" i="6" s="1"/>
  <c r="N10" i="6" s="1"/>
  <c r="X10" i="6" s="1"/>
  <c r="E10" i="6"/>
  <c r="L10" i="6" s="1"/>
  <c r="M10" i="6" s="1"/>
  <c r="Y10" i="6" s="1"/>
  <c r="AA10" i="6" s="1"/>
  <c r="D10" i="6"/>
  <c r="K10" i="6" s="1"/>
  <c r="W10" i="6" s="1"/>
  <c r="C10" i="6"/>
  <c r="J10" i="6" s="1"/>
  <c r="V10" i="6" s="1"/>
  <c r="B10" i="6"/>
  <c r="A10" i="6"/>
  <c r="U9" i="6"/>
  <c r="Z9" i="6" s="1"/>
  <c r="S9" i="6"/>
  <c r="R9" i="6"/>
  <c r="Q9" i="6"/>
  <c r="P9" i="6"/>
  <c r="G9" i="6"/>
  <c r="N9" i="6" s="1"/>
  <c r="F9" i="6"/>
  <c r="E9" i="6"/>
  <c r="D9" i="6"/>
  <c r="C9" i="6"/>
  <c r="J9" i="6" s="1"/>
  <c r="B9" i="6"/>
  <c r="A9" i="6"/>
  <c r="U8" i="6"/>
  <c r="Z8" i="6" s="1"/>
  <c r="S8" i="6"/>
  <c r="R8" i="6"/>
  <c r="Q8" i="6"/>
  <c r="P8" i="6"/>
  <c r="B8" i="6"/>
  <c r="A8" i="6"/>
  <c r="F8" i="6" s="1"/>
  <c r="G8" i="6" s="1"/>
  <c r="N8" i="6" s="1"/>
  <c r="AD7" i="6"/>
  <c r="U7" i="6"/>
  <c r="Z7" i="6" s="1"/>
  <c r="S7" i="6"/>
  <c r="R7" i="6"/>
  <c r="Q7" i="6"/>
  <c r="P7" i="6"/>
  <c r="B7" i="6"/>
  <c r="A7" i="6"/>
  <c r="AD6" i="6"/>
  <c r="U6" i="6"/>
  <c r="Z6" i="6" s="1"/>
  <c r="S6" i="6"/>
  <c r="R6" i="6"/>
  <c r="Q6" i="6"/>
  <c r="P6" i="6"/>
  <c r="I6" i="6"/>
  <c r="H6" i="6"/>
  <c r="B6" i="6"/>
  <c r="A6" i="6"/>
  <c r="AD5" i="6"/>
  <c r="Z5" i="6"/>
  <c r="U5" i="6"/>
  <c r="S5" i="6"/>
  <c r="R5" i="6"/>
  <c r="Q5" i="6"/>
  <c r="P5" i="6"/>
  <c r="N5" i="6"/>
  <c r="I5" i="6"/>
  <c r="B5" i="6"/>
  <c r="H5" i="6" s="1"/>
  <c r="A5" i="6"/>
  <c r="F5" i="6" s="1"/>
  <c r="G5" i="6" s="1"/>
  <c r="Z4" i="6"/>
  <c r="U4" i="6"/>
  <c r="S4" i="6"/>
  <c r="R4" i="6"/>
  <c r="Q4" i="6"/>
  <c r="P4" i="6"/>
  <c r="V4" i="6" s="1"/>
  <c r="L4" i="6"/>
  <c r="M4" i="6" s="1"/>
  <c r="Y4" i="6" s="1"/>
  <c r="AA4" i="6" s="1"/>
  <c r="K4" i="6"/>
  <c r="W4" i="6" s="1"/>
  <c r="J4" i="6"/>
  <c r="I4" i="6"/>
  <c r="H4" i="6"/>
  <c r="E4" i="6"/>
  <c r="D4" i="6"/>
  <c r="C4" i="6"/>
  <c r="B4" i="6"/>
  <c r="A4" i="6"/>
  <c r="F4" i="6" s="1"/>
  <c r="G4" i="6" s="1"/>
  <c r="N4" i="6" s="1"/>
  <c r="X4" i="6" s="1"/>
  <c r="F17" i="5"/>
  <c r="C17" i="5"/>
  <c r="P203" i="3"/>
  <c r="J203" i="3"/>
  <c r="H245" i="9" s="1"/>
  <c r="I203" i="3"/>
  <c r="D203" i="3"/>
  <c r="B203" i="3"/>
  <c r="AD203" i="6" s="1"/>
  <c r="P202" i="3"/>
  <c r="I202" i="3"/>
  <c r="L202" i="3" s="1"/>
  <c r="D202" i="3"/>
  <c r="B202" i="3"/>
  <c r="AD202" i="6" s="1"/>
  <c r="P201" i="3"/>
  <c r="I201" i="3"/>
  <c r="D201" i="3"/>
  <c r="B201" i="3"/>
  <c r="AD201" i="6" s="1"/>
  <c r="P200" i="3"/>
  <c r="I200" i="3"/>
  <c r="D200" i="3"/>
  <c r="B200" i="3"/>
  <c r="AD200" i="6" s="1"/>
  <c r="P199" i="3"/>
  <c r="L199" i="3"/>
  <c r="I199" i="3"/>
  <c r="F241" i="9" s="1"/>
  <c r="D199" i="3"/>
  <c r="B199" i="3"/>
  <c r="AD199" i="6" s="1"/>
  <c r="P198" i="3"/>
  <c r="L198" i="3"/>
  <c r="J198" i="3"/>
  <c r="H240" i="9" s="1"/>
  <c r="I198" i="3"/>
  <c r="D198" i="3"/>
  <c r="B198" i="3"/>
  <c r="AD198" i="6" s="1"/>
  <c r="P197" i="3"/>
  <c r="L197" i="3"/>
  <c r="J197" i="3"/>
  <c r="H239" i="9" s="1"/>
  <c r="I197" i="3"/>
  <c r="D197" i="3"/>
  <c r="B197" i="3"/>
  <c r="AD197" i="6" s="1"/>
  <c r="P196" i="3"/>
  <c r="I196" i="3"/>
  <c r="L196" i="3" s="1"/>
  <c r="D196" i="3"/>
  <c r="B196" i="3"/>
  <c r="AD196" i="6" s="1"/>
  <c r="P195" i="3"/>
  <c r="L195" i="3"/>
  <c r="J195" i="3"/>
  <c r="H237" i="9" s="1"/>
  <c r="I195" i="3"/>
  <c r="D195" i="3"/>
  <c r="B195" i="3"/>
  <c r="AD195" i="6" s="1"/>
  <c r="P194" i="3"/>
  <c r="L194" i="3"/>
  <c r="J194" i="3"/>
  <c r="H236" i="9" s="1"/>
  <c r="I194" i="3"/>
  <c r="D194" i="3"/>
  <c r="B194" i="3"/>
  <c r="AD194" i="6" s="1"/>
  <c r="P193" i="3"/>
  <c r="L193" i="3"/>
  <c r="J193" i="3"/>
  <c r="H235" i="9" s="1"/>
  <c r="I193" i="3"/>
  <c r="D193" i="3"/>
  <c r="B193" i="3"/>
  <c r="AD193" i="6" s="1"/>
  <c r="P192" i="3"/>
  <c r="L192" i="3"/>
  <c r="J192" i="3"/>
  <c r="H234" i="9" s="1"/>
  <c r="I192" i="3"/>
  <c r="D192" i="3"/>
  <c r="B192" i="3"/>
  <c r="AD192" i="6" s="1"/>
  <c r="P191" i="3"/>
  <c r="I191" i="3"/>
  <c r="K191" i="3" s="1"/>
  <c r="D191" i="3"/>
  <c r="B191" i="3"/>
  <c r="AD191" i="6" s="1"/>
  <c r="P190" i="3"/>
  <c r="L190" i="3"/>
  <c r="J190" i="3"/>
  <c r="H232" i="9" s="1"/>
  <c r="I190" i="3"/>
  <c r="D190" i="3"/>
  <c r="B190" i="3"/>
  <c r="AD190" i="6" s="1"/>
  <c r="P189" i="3"/>
  <c r="I189" i="3"/>
  <c r="J189" i="3" s="1"/>
  <c r="H231" i="9" s="1"/>
  <c r="D189" i="3"/>
  <c r="B189" i="3"/>
  <c r="AD189" i="6" s="1"/>
  <c r="P188" i="3"/>
  <c r="L188" i="3"/>
  <c r="I188" i="3"/>
  <c r="D188" i="3"/>
  <c r="B188" i="3"/>
  <c r="AD188" i="6" s="1"/>
  <c r="P187" i="3"/>
  <c r="I187" i="3"/>
  <c r="J187" i="3" s="1"/>
  <c r="H229" i="9" s="1"/>
  <c r="D187" i="3"/>
  <c r="B187" i="3"/>
  <c r="AD187" i="6" s="1"/>
  <c r="P186" i="3"/>
  <c r="L186" i="3"/>
  <c r="J186" i="3"/>
  <c r="H228" i="9" s="1"/>
  <c r="I186" i="3"/>
  <c r="D186" i="3"/>
  <c r="B186" i="3"/>
  <c r="AD186" i="6" s="1"/>
  <c r="P185" i="3"/>
  <c r="I185" i="3"/>
  <c r="D185" i="3"/>
  <c r="B185" i="3"/>
  <c r="AD185" i="6" s="1"/>
  <c r="P184" i="3"/>
  <c r="L184" i="3"/>
  <c r="J184" i="3"/>
  <c r="H226" i="9" s="1"/>
  <c r="I184" i="3"/>
  <c r="D184" i="3"/>
  <c r="B184" i="3"/>
  <c r="AD184" i="6" s="1"/>
  <c r="P183" i="3"/>
  <c r="J183" i="3"/>
  <c r="H225" i="9" s="1"/>
  <c r="I183" i="3"/>
  <c r="D183" i="3"/>
  <c r="B183" i="3"/>
  <c r="AD183" i="6" s="1"/>
  <c r="P182" i="3"/>
  <c r="I182" i="3"/>
  <c r="K182" i="3" s="1"/>
  <c r="D182" i="3"/>
  <c r="B182" i="3"/>
  <c r="AD182" i="6" s="1"/>
  <c r="P181" i="3"/>
  <c r="L181" i="3"/>
  <c r="I181" i="3"/>
  <c r="D181" i="3"/>
  <c r="B181" i="3"/>
  <c r="AD181" i="6" s="1"/>
  <c r="P180" i="3"/>
  <c r="J180" i="3"/>
  <c r="H222" i="9" s="1"/>
  <c r="I180" i="3"/>
  <c r="D180" i="3"/>
  <c r="B180" i="3"/>
  <c r="AD180" i="6" s="1"/>
  <c r="P179" i="3"/>
  <c r="L179" i="3"/>
  <c r="J179" i="3"/>
  <c r="H221" i="9" s="1"/>
  <c r="I179" i="3"/>
  <c r="D179" i="3"/>
  <c r="B179" i="3"/>
  <c r="AD179" i="6" s="1"/>
  <c r="P178" i="3"/>
  <c r="I178" i="3"/>
  <c r="L178" i="3" s="1"/>
  <c r="D178" i="3"/>
  <c r="B178" i="3"/>
  <c r="AD178" i="6" s="1"/>
  <c r="P177" i="3"/>
  <c r="L177" i="3"/>
  <c r="J177" i="3"/>
  <c r="H219" i="9" s="1"/>
  <c r="I177" i="3"/>
  <c r="D177" i="3"/>
  <c r="B177" i="3"/>
  <c r="AD177" i="6" s="1"/>
  <c r="P176" i="3"/>
  <c r="I176" i="3"/>
  <c r="D176" i="3"/>
  <c r="B176" i="3"/>
  <c r="AD176" i="6" s="1"/>
  <c r="P175" i="3"/>
  <c r="I175" i="3"/>
  <c r="K175" i="3" s="1"/>
  <c r="D175" i="3"/>
  <c r="B175" i="3"/>
  <c r="AD175" i="6" s="1"/>
  <c r="P174" i="3"/>
  <c r="I174" i="3"/>
  <c r="D174" i="3"/>
  <c r="B174" i="3"/>
  <c r="AD174" i="6" s="1"/>
  <c r="P173" i="3"/>
  <c r="I173" i="3"/>
  <c r="K173" i="3" s="1"/>
  <c r="D173" i="3"/>
  <c r="B173" i="3"/>
  <c r="AD173" i="6" s="1"/>
  <c r="P172" i="3"/>
  <c r="L172" i="3"/>
  <c r="I172" i="3"/>
  <c r="D172" i="3"/>
  <c r="B172" i="3"/>
  <c r="AD172" i="6" s="1"/>
  <c r="P171" i="3"/>
  <c r="I171" i="3"/>
  <c r="K171" i="3" s="1"/>
  <c r="D171" i="3"/>
  <c r="B171" i="3"/>
  <c r="AD171" i="6" s="1"/>
  <c r="P170" i="3"/>
  <c r="L170" i="3"/>
  <c r="J170" i="3"/>
  <c r="H212" i="9" s="1"/>
  <c r="I170" i="3"/>
  <c r="D170" i="3"/>
  <c r="B170" i="3"/>
  <c r="AD170" i="6" s="1"/>
  <c r="P169" i="3"/>
  <c r="I169" i="3"/>
  <c r="D169" i="3"/>
  <c r="B169" i="3"/>
  <c r="AD169" i="6" s="1"/>
  <c r="P168" i="3"/>
  <c r="L168" i="3"/>
  <c r="J168" i="3"/>
  <c r="H210" i="9" s="1"/>
  <c r="I168" i="3"/>
  <c r="D168" i="3"/>
  <c r="B168" i="3"/>
  <c r="AD168" i="6" s="1"/>
  <c r="P167" i="3"/>
  <c r="J167" i="3"/>
  <c r="H209" i="9" s="1"/>
  <c r="I167" i="3"/>
  <c r="D167" i="3"/>
  <c r="B167" i="3"/>
  <c r="AD167" i="6" s="1"/>
  <c r="P166" i="3"/>
  <c r="I166" i="3"/>
  <c r="J166" i="3" s="1"/>
  <c r="H208" i="9" s="1"/>
  <c r="D166" i="3"/>
  <c r="B166" i="3"/>
  <c r="AD166" i="6" s="1"/>
  <c r="P165" i="3"/>
  <c r="L165" i="3"/>
  <c r="I165" i="3"/>
  <c r="D165" i="3"/>
  <c r="B165" i="3"/>
  <c r="AD165" i="6" s="1"/>
  <c r="P164" i="3"/>
  <c r="J164" i="3"/>
  <c r="H206" i="9" s="1"/>
  <c r="I164" i="3"/>
  <c r="D164" i="3"/>
  <c r="B164" i="3"/>
  <c r="AD164" i="6" s="1"/>
  <c r="P163" i="3"/>
  <c r="L163" i="3"/>
  <c r="J163" i="3"/>
  <c r="H205" i="9" s="1"/>
  <c r="I163" i="3"/>
  <c r="D163" i="3"/>
  <c r="B163" i="3"/>
  <c r="AD163" i="6" s="1"/>
  <c r="P162" i="3"/>
  <c r="I162" i="3"/>
  <c r="L162" i="3" s="1"/>
  <c r="D162" i="3"/>
  <c r="B162" i="3"/>
  <c r="AD162" i="6" s="1"/>
  <c r="P161" i="3"/>
  <c r="L161" i="3"/>
  <c r="J161" i="3"/>
  <c r="H203" i="9" s="1"/>
  <c r="I161" i="3"/>
  <c r="D161" i="3"/>
  <c r="B161" i="3"/>
  <c r="AD161" i="6" s="1"/>
  <c r="P160" i="3"/>
  <c r="I160" i="3"/>
  <c r="D160" i="3"/>
  <c r="B160" i="3"/>
  <c r="AD160" i="6" s="1"/>
  <c r="P159" i="3"/>
  <c r="I159" i="3"/>
  <c r="K159" i="3" s="1"/>
  <c r="D159" i="3"/>
  <c r="B159" i="3"/>
  <c r="AD159" i="6" s="1"/>
  <c r="P158" i="3"/>
  <c r="I158" i="3"/>
  <c r="D158" i="3"/>
  <c r="B158" i="3"/>
  <c r="AD158" i="6" s="1"/>
  <c r="P157" i="3"/>
  <c r="I157" i="3"/>
  <c r="K157" i="3" s="1"/>
  <c r="D157" i="3"/>
  <c r="B157" i="3"/>
  <c r="AD157" i="6" s="1"/>
  <c r="P156" i="3"/>
  <c r="L156" i="3"/>
  <c r="I156" i="3"/>
  <c r="D156" i="3"/>
  <c r="B156" i="3"/>
  <c r="AD156" i="6" s="1"/>
  <c r="P155" i="3"/>
  <c r="I155" i="3"/>
  <c r="L155" i="3" s="1"/>
  <c r="D155" i="3"/>
  <c r="B155" i="3"/>
  <c r="AD155" i="6" s="1"/>
  <c r="P154" i="3"/>
  <c r="L154" i="3"/>
  <c r="J154" i="3"/>
  <c r="H196" i="9" s="1"/>
  <c r="I154" i="3"/>
  <c r="D154" i="3"/>
  <c r="B154" i="3"/>
  <c r="AD154" i="6" s="1"/>
  <c r="P153" i="3"/>
  <c r="I153" i="3"/>
  <c r="L153" i="3" s="1"/>
  <c r="D153" i="3"/>
  <c r="B153" i="3"/>
  <c r="AD153" i="6" s="1"/>
  <c r="P152" i="3"/>
  <c r="L152" i="3"/>
  <c r="J152" i="3"/>
  <c r="H194" i="9" s="1"/>
  <c r="I152" i="3"/>
  <c r="D152" i="3"/>
  <c r="B152" i="3"/>
  <c r="AD152" i="6" s="1"/>
  <c r="P151" i="3"/>
  <c r="J151" i="3"/>
  <c r="H193" i="9" s="1"/>
  <c r="I151" i="3"/>
  <c r="D151" i="3"/>
  <c r="B151" i="3"/>
  <c r="AD151" i="6" s="1"/>
  <c r="P150" i="3"/>
  <c r="I150" i="3"/>
  <c r="J150" i="3" s="1"/>
  <c r="H192" i="9" s="1"/>
  <c r="D150" i="3"/>
  <c r="B150" i="3"/>
  <c r="AD150" i="6" s="1"/>
  <c r="P149" i="3"/>
  <c r="L149" i="3"/>
  <c r="I149" i="3"/>
  <c r="D149" i="3"/>
  <c r="B149" i="3"/>
  <c r="AD149" i="6" s="1"/>
  <c r="P148" i="3"/>
  <c r="I148" i="3"/>
  <c r="D148" i="3"/>
  <c r="B148" i="3"/>
  <c r="AD148" i="6" s="1"/>
  <c r="P147" i="3"/>
  <c r="L147" i="3"/>
  <c r="J147" i="3"/>
  <c r="H189" i="9" s="1"/>
  <c r="I147" i="3"/>
  <c r="D147" i="3"/>
  <c r="B147" i="3"/>
  <c r="AD147" i="6" s="1"/>
  <c r="P146" i="3"/>
  <c r="I146" i="3"/>
  <c r="J146" i="3" s="1"/>
  <c r="H188" i="9" s="1"/>
  <c r="D146" i="3"/>
  <c r="B146" i="3"/>
  <c r="AD146" i="6" s="1"/>
  <c r="P145" i="3"/>
  <c r="L145" i="3"/>
  <c r="J145" i="3"/>
  <c r="H187" i="9" s="1"/>
  <c r="I145" i="3"/>
  <c r="D145" i="3"/>
  <c r="B145" i="3"/>
  <c r="AD145" i="6" s="1"/>
  <c r="P144" i="3"/>
  <c r="I144" i="3"/>
  <c r="D144" i="3"/>
  <c r="B144" i="3"/>
  <c r="AD144" i="6" s="1"/>
  <c r="P143" i="3"/>
  <c r="I143" i="3"/>
  <c r="J143" i="3" s="1"/>
  <c r="H185" i="9" s="1"/>
  <c r="D143" i="3"/>
  <c r="B143" i="3"/>
  <c r="AD143" i="6" s="1"/>
  <c r="P142" i="3"/>
  <c r="I142" i="3"/>
  <c r="D142" i="3"/>
  <c r="B142" i="3"/>
  <c r="AD142" i="6" s="1"/>
  <c r="P141" i="3"/>
  <c r="I141" i="3"/>
  <c r="J141" i="3" s="1"/>
  <c r="H183" i="9" s="1"/>
  <c r="D141" i="3"/>
  <c r="B141" i="3"/>
  <c r="AD141" i="6" s="1"/>
  <c r="P140" i="3"/>
  <c r="L140" i="3"/>
  <c r="I140" i="3"/>
  <c r="D140" i="3"/>
  <c r="B140" i="3"/>
  <c r="AD140" i="6" s="1"/>
  <c r="P139" i="3"/>
  <c r="I139" i="3"/>
  <c r="K139" i="3" s="1"/>
  <c r="D139" i="3"/>
  <c r="B139" i="3"/>
  <c r="AD139" i="6" s="1"/>
  <c r="P138" i="3"/>
  <c r="L138" i="3"/>
  <c r="J138" i="3"/>
  <c r="H180" i="9" s="1"/>
  <c r="I138" i="3"/>
  <c r="D138" i="3"/>
  <c r="B138" i="3"/>
  <c r="AD138" i="6" s="1"/>
  <c r="P137" i="3"/>
  <c r="I137" i="3"/>
  <c r="L137" i="3" s="1"/>
  <c r="D137" i="3"/>
  <c r="B137" i="3"/>
  <c r="AD137" i="6" s="1"/>
  <c r="P136" i="3"/>
  <c r="L136" i="3"/>
  <c r="J136" i="3"/>
  <c r="H178" i="9" s="1"/>
  <c r="I136" i="3"/>
  <c r="D136" i="3"/>
  <c r="B136" i="3"/>
  <c r="AD136" i="6" s="1"/>
  <c r="P135" i="3"/>
  <c r="J135" i="3"/>
  <c r="H177" i="9" s="1"/>
  <c r="I135" i="3"/>
  <c r="D135" i="3"/>
  <c r="B135" i="3"/>
  <c r="AD135" i="6" s="1"/>
  <c r="P134" i="3"/>
  <c r="I134" i="3"/>
  <c r="K134" i="3" s="1"/>
  <c r="D134" i="3"/>
  <c r="B134" i="3"/>
  <c r="AD134" i="6" s="1"/>
  <c r="P133" i="3"/>
  <c r="L133" i="3"/>
  <c r="I133" i="3"/>
  <c r="D133" i="3"/>
  <c r="B133" i="3"/>
  <c r="AD133" i="6" s="1"/>
  <c r="P132" i="3"/>
  <c r="I132" i="3"/>
  <c r="D132" i="3"/>
  <c r="B132" i="3"/>
  <c r="AD132" i="6" s="1"/>
  <c r="P131" i="3"/>
  <c r="L131" i="3"/>
  <c r="J131" i="3"/>
  <c r="H173" i="9" s="1"/>
  <c r="I131" i="3"/>
  <c r="D131" i="3"/>
  <c r="B131" i="3"/>
  <c r="AD131" i="6" s="1"/>
  <c r="P130" i="3"/>
  <c r="I130" i="3"/>
  <c r="J130" i="3" s="1"/>
  <c r="H172" i="9" s="1"/>
  <c r="D130" i="3"/>
  <c r="B130" i="3"/>
  <c r="AD130" i="6" s="1"/>
  <c r="P129" i="3"/>
  <c r="L129" i="3"/>
  <c r="K129" i="3"/>
  <c r="J129" i="3"/>
  <c r="H171" i="9" s="1"/>
  <c r="I129" i="3"/>
  <c r="D129" i="3"/>
  <c r="B129" i="3"/>
  <c r="AD129" i="6" s="1"/>
  <c r="P128" i="3"/>
  <c r="I128" i="3"/>
  <c r="D128" i="3"/>
  <c r="B128" i="3"/>
  <c r="AD128" i="6" s="1"/>
  <c r="P127" i="3"/>
  <c r="I127" i="3"/>
  <c r="D127" i="3"/>
  <c r="B127" i="3"/>
  <c r="AD127" i="6" s="1"/>
  <c r="P126" i="3"/>
  <c r="I126" i="3"/>
  <c r="D126" i="3"/>
  <c r="B126" i="3"/>
  <c r="AD126" i="6" s="1"/>
  <c r="P125" i="3"/>
  <c r="I125" i="3"/>
  <c r="K125" i="3" s="1"/>
  <c r="D125" i="3"/>
  <c r="B125" i="3"/>
  <c r="AD125" i="6" s="1"/>
  <c r="P124" i="3"/>
  <c r="L124" i="3"/>
  <c r="I124" i="3"/>
  <c r="D124" i="3"/>
  <c r="B124" i="3"/>
  <c r="AD124" i="6" s="1"/>
  <c r="P123" i="3"/>
  <c r="I123" i="3"/>
  <c r="L123" i="3" s="1"/>
  <c r="D123" i="3"/>
  <c r="B123" i="3"/>
  <c r="AD123" i="6" s="1"/>
  <c r="P122" i="3"/>
  <c r="L122" i="3"/>
  <c r="J122" i="3"/>
  <c r="H164" i="9" s="1"/>
  <c r="I122" i="3"/>
  <c r="D122" i="3"/>
  <c r="B122" i="3"/>
  <c r="AD122" i="6" s="1"/>
  <c r="P121" i="3"/>
  <c r="I121" i="3"/>
  <c r="D121" i="3"/>
  <c r="B121" i="3"/>
  <c r="AD121" i="6" s="1"/>
  <c r="P120" i="3"/>
  <c r="L120" i="3"/>
  <c r="J120" i="3"/>
  <c r="H162" i="9" s="1"/>
  <c r="I120" i="3"/>
  <c r="D120" i="3"/>
  <c r="B120" i="3"/>
  <c r="AD120" i="6" s="1"/>
  <c r="P119" i="3"/>
  <c r="J119" i="3"/>
  <c r="H161" i="9" s="1"/>
  <c r="I119" i="3"/>
  <c r="D119" i="3"/>
  <c r="B119" i="3"/>
  <c r="AD119" i="6" s="1"/>
  <c r="P118" i="3"/>
  <c r="I118" i="3"/>
  <c r="L118" i="3" s="1"/>
  <c r="D118" i="3"/>
  <c r="B118" i="3"/>
  <c r="AD118" i="6" s="1"/>
  <c r="P117" i="3"/>
  <c r="L117" i="3"/>
  <c r="I117" i="3"/>
  <c r="D117" i="3"/>
  <c r="B117" i="3"/>
  <c r="AD117" i="6" s="1"/>
  <c r="P116" i="3"/>
  <c r="I116" i="3"/>
  <c r="J116" i="3" s="1"/>
  <c r="D116" i="3"/>
  <c r="B116" i="3"/>
  <c r="AD116" i="6" s="1"/>
  <c r="P115" i="3"/>
  <c r="L115" i="3"/>
  <c r="J115" i="3"/>
  <c r="H157" i="9" s="1"/>
  <c r="I115" i="3"/>
  <c r="D115" i="3"/>
  <c r="B115" i="3"/>
  <c r="AD115" i="6" s="1"/>
  <c r="P114" i="3"/>
  <c r="I114" i="3"/>
  <c r="L114" i="3" s="1"/>
  <c r="D114" i="3"/>
  <c r="B114" i="3"/>
  <c r="AD114" i="6" s="1"/>
  <c r="P113" i="3"/>
  <c r="L113" i="3"/>
  <c r="K113" i="3"/>
  <c r="H23" i="2" s="1"/>
  <c r="J113" i="3"/>
  <c r="H155" i="9" s="1"/>
  <c r="I113" i="3"/>
  <c r="D113" i="3"/>
  <c r="B113" i="3"/>
  <c r="AD113" i="6" s="1"/>
  <c r="P112" i="3"/>
  <c r="I112" i="3"/>
  <c r="D112" i="3"/>
  <c r="B112" i="3"/>
  <c r="AD112" i="6" s="1"/>
  <c r="P111" i="3"/>
  <c r="I111" i="3"/>
  <c r="J111" i="3" s="1"/>
  <c r="D111" i="3"/>
  <c r="B111" i="3"/>
  <c r="AD111" i="6" s="1"/>
  <c r="P110" i="3"/>
  <c r="I110" i="3"/>
  <c r="D110" i="3"/>
  <c r="B110" i="3"/>
  <c r="AD110" i="6" s="1"/>
  <c r="P109" i="3"/>
  <c r="I109" i="3"/>
  <c r="D109" i="3"/>
  <c r="B109" i="3"/>
  <c r="AD109" i="6" s="1"/>
  <c r="P108" i="3"/>
  <c r="L108" i="3"/>
  <c r="I108" i="3"/>
  <c r="D108" i="3"/>
  <c r="B108" i="3"/>
  <c r="AD108" i="6" s="1"/>
  <c r="P107" i="3"/>
  <c r="I107" i="3"/>
  <c r="D107" i="3"/>
  <c r="B107" i="3"/>
  <c r="AD107" i="6" s="1"/>
  <c r="P106" i="3"/>
  <c r="L106" i="3"/>
  <c r="J106" i="3"/>
  <c r="H148" i="9" s="1"/>
  <c r="I106" i="3"/>
  <c r="D106" i="3"/>
  <c r="B106" i="3"/>
  <c r="AD106" i="6" s="1"/>
  <c r="P105" i="3"/>
  <c r="I105" i="3"/>
  <c r="L105" i="3" s="1"/>
  <c r="D105" i="3"/>
  <c r="B105" i="3"/>
  <c r="AD105" i="6" s="1"/>
  <c r="P104" i="3"/>
  <c r="L104" i="3"/>
  <c r="J104" i="3"/>
  <c r="H146" i="9" s="1"/>
  <c r="I104" i="3"/>
  <c r="K179" i="3" s="1"/>
  <c r="D104" i="3"/>
  <c r="B104" i="3"/>
  <c r="AD104" i="6" s="1"/>
  <c r="P103" i="3"/>
  <c r="J103" i="3"/>
  <c r="H145" i="9" s="1"/>
  <c r="I103" i="3"/>
  <c r="D103" i="3"/>
  <c r="B103" i="3"/>
  <c r="AD103" i="6" s="1"/>
  <c r="P102" i="3"/>
  <c r="I102" i="3"/>
  <c r="D102" i="3"/>
  <c r="B102" i="3"/>
  <c r="AD102" i="6" s="1"/>
  <c r="P101" i="3"/>
  <c r="L101" i="3"/>
  <c r="I101" i="3"/>
  <c r="D101" i="3"/>
  <c r="B101" i="3"/>
  <c r="AD101" i="6" s="1"/>
  <c r="P100" i="3"/>
  <c r="I100" i="3"/>
  <c r="L100" i="3" s="1"/>
  <c r="D100" i="3"/>
  <c r="B100" i="3"/>
  <c r="AD100" i="6" s="1"/>
  <c r="P99" i="3"/>
  <c r="L99" i="3"/>
  <c r="J99" i="3"/>
  <c r="H141" i="9" s="1"/>
  <c r="I99" i="3"/>
  <c r="D99" i="3"/>
  <c r="B99" i="3"/>
  <c r="AD99" i="6" s="1"/>
  <c r="P98" i="3"/>
  <c r="I98" i="3"/>
  <c r="K98" i="3" s="1"/>
  <c r="D98" i="3"/>
  <c r="B98" i="3"/>
  <c r="AD98" i="6" s="1"/>
  <c r="P97" i="3"/>
  <c r="L97" i="3"/>
  <c r="J97" i="3"/>
  <c r="H139" i="9" s="1"/>
  <c r="I97" i="3"/>
  <c r="D97" i="3"/>
  <c r="B97" i="3"/>
  <c r="AD97" i="6" s="1"/>
  <c r="P96" i="3"/>
  <c r="I96" i="3"/>
  <c r="D96" i="3"/>
  <c r="B96" i="3"/>
  <c r="AD96" i="6" s="1"/>
  <c r="P95" i="3"/>
  <c r="I95" i="3"/>
  <c r="K95" i="3" s="1"/>
  <c r="D95" i="3"/>
  <c r="B95" i="3"/>
  <c r="AD95" i="6" s="1"/>
  <c r="P94" i="3"/>
  <c r="I94" i="3"/>
  <c r="D94" i="3"/>
  <c r="B94" i="3"/>
  <c r="AD94" i="6" s="1"/>
  <c r="P93" i="3"/>
  <c r="I93" i="3"/>
  <c r="L93" i="3" s="1"/>
  <c r="D93" i="3"/>
  <c r="B93" i="3"/>
  <c r="AD93" i="6" s="1"/>
  <c r="P92" i="3"/>
  <c r="L92" i="3"/>
  <c r="I92" i="3"/>
  <c r="D92" i="3"/>
  <c r="B92" i="3"/>
  <c r="AD92" i="6" s="1"/>
  <c r="P91" i="3"/>
  <c r="I91" i="3"/>
  <c r="D91" i="3"/>
  <c r="B91" i="3"/>
  <c r="AD91" i="6" s="1"/>
  <c r="P90" i="3"/>
  <c r="L90" i="3"/>
  <c r="J90" i="3"/>
  <c r="H132" i="9" s="1"/>
  <c r="I90" i="3"/>
  <c r="D90" i="3"/>
  <c r="B90" i="3"/>
  <c r="AD90" i="6" s="1"/>
  <c r="P89" i="3"/>
  <c r="I89" i="3"/>
  <c r="J89" i="3" s="1"/>
  <c r="H131" i="9" s="1"/>
  <c r="D89" i="3"/>
  <c r="B89" i="3"/>
  <c r="AD89" i="6" s="1"/>
  <c r="P88" i="3"/>
  <c r="L88" i="3"/>
  <c r="J88" i="3"/>
  <c r="H130" i="9" s="1"/>
  <c r="I88" i="3"/>
  <c r="D88" i="3"/>
  <c r="B88" i="3"/>
  <c r="AD88" i="6" s="1"/>
  <c r="P87" i="3"/>
  <c r="J87" i="3"/>
  <c r="H129" i="9" s="1"/>
  <c r="I87" i="3"/>
  <c r="D87" i="3"/>
  <c r="B87" i="3"/>
  <c r="AD87" i="6" s="1"/>
  <c r="P86" i="3"/>
  <c r="I86" i="3"/>
  <c r="L86" i="3" s="1"/>
  <c r="D86" i="3"/>
  <c r="B86" i="3"/>
  <c r="AD86" i="6" s="1"/>
  <c r="P85" i="3"/>
  <c r="L85" i="3"/>
  <c r="I85" i="3"/>
  <c r="D85" i="3"/>
  <c r="B85" i="3"/>
  <c r="AD85" i="6" s="1"/>
  <c r="P84" i="3"/>
  <c r="I84" i="3"/>
  <c r="L84" i="3" s="1"/>
  <c r="D84" i="3"/>
  <c r="B84" i="3"/>
  <c r="AD84" i="6" s="1"/>
  <c r="P83" i="3"/>
  <c r="L83" i="3"/>
  <c r="J83" i="3"/>
  <c r="H125" i="9" s="1"/>
  <c r="I83" i="3"/>
  <c r="D83" i="3"/>
  <c r="B83" i="3"/>
  <c r="AD83" i="6" s="1"/>
  <c r="P82" i="3"/>
  <c r="I82" i="3"/>
  <c r="J82" i="3" s="1"/>
  <c r="H124" i="9" s="1"/>
  <c r="D82" i="3"/>
  <c r="B82" i="3"/>
  <c r="AD82" i="6" s="1"/>
  <c r="P81" i="3"/>
  <c r="L81" i="3"/>
  <c r="J81" i="3"/>
  <c r="H123" i="9" s="1"/>
  <c r="I81" i="3"/>
  <c r="D81" i="3"/>
  <c r="B81" i="3"/>
  <c r="AD81" i="6" s="1"/>
  <c r="P80" i="3"/>
  <c r="I80" i="3"/>
  <c r="D80" i="3"/>
  <c r="B80" i="3"/>
  <c r="AD80" i="6" s="1"/>
  <c r="P79" i="3"/>
  <c r="I79" i="3"/>
  <c r="D79" i="3"/>
  <c r="B79" i="3"/>
  <c r="AD79" i="6" s="1"/>
  <c r="P78" i="3"/>
  <c r="I78" i="3"/>
  <c r="D78" i="3"/>
  <c r="B78" i="3"/>
  <c r="AD78" i="6" s="1"/>
  <c r="P77" i="3"/>
  <c r="I77" i="3"/>
  <c r="D77" i="3"/>
  <c r="B77" i="3"/>
  <c r="AD77" i="6" s="1"/>
  <c r="P76" i="3"/>
  <c r="L76" i="3"/>
  <c r="I76" i="3"/>
  <c r="D76" i="3"/>
  <c r="B76" i="3"/>
  <c r="AD76" i="6" s="1"/>
  <c r="P75" i="3"/>
  <c r="I75" i="3"/>
  <c r="K75" i="3" s="1"/>
  <c r="D75" i="3"/>
  <c r="B75" i="3"/>
  <c r="AD75" i="6" s="1"/>
  <c r="P74" i="3"/>
  <c r="L74" i="3"/>
  <c r="J74" i="3"/>
  <c r="H116" i="9" s="1"/>
  <c r="I74" i="3"/>
  <c r="D74" i="3"/>
  <c r="B74" i="3"/>
  <c r="AD74" i="6" s="1"/>
  <c r="P73" i="3"/>
  <c r="I73" i="3"/>
  <c r="L73" i="3" s="1"/>
  <c r="D73" i="3"/>
  <c r="B73" i="3"/>
  <c r="AD73" i="6" s="1"/>
  <c r="P72" i="3"/>
  <c r="L72" i="3"/>
  <c r="J72" i="3"/>
  <c r="H114" i="9" s="1"/>
  <c r="I72" i="3"/>
  <c r="F114" i="9" s="1"/>
  <c r="D72" i="3"/>
  <c r="B72" i="3"/>
  <c r="AD72" i="6" s="1"/>
  <c r="P71" i="3"/>
  <c r="J71" i="3"/>
  <c r="H113" i="9" s="1"/>
  <c r="I71" i="3"/>
  <c r="D71" i="3"/>
  <c r="B71" i="3"/>
  <c r="AD71" i="6" s="1"/>
  <c r="P70" i="3"/>
  <c r="I70" i="3"/>
  <c r="J70" i="3" s="1"/>
  <c r="H112" i="9" s="1"/>
  <c r="D70" i="3"/>
  <c r="B70" i="3"/>
  <c r="AD70" i="6" s="1"/>
  <c r="P69" i="3"/>
  <c r="L69" i="3"/>
  <c r="I69" i="3"/>
  <c r="D69" i="3"/>
  <c r="B69" i="3"/>
  <c r="AD69" i="6" s="1"/>
  <c r="P68" i="3"/>
  <c r="I68" i="3"/>
  <c r="L68" i="3" s="1"/>
  <c r="D68" i="3"/>
  <c r="B68" i="3"/>
  <c r="AD68" i="6" s="1"/>
  <c r="P67" i="3"/>
  <c r="L67" i="3"/>
  <c r="J67" i="3"/>
  <c r="H109" i="9" s="1"/>
  <c r="I67" i="3"/>
  <c r="D67" i="3"/>
  <c r="B67" i="3"/>
  <c r="AD67" i="6" s="1"/>
  <c r="P66" i="3"/>
  <c r="I66" i="3"/>
  <c r="J66" i="3" s="1"/>
  <c r="H108" i="9" s="1"/>
  <c r="D66" i="3"/>
  <c r="B66" i="3"/>
  <c r="AD66" i="6" s="1"/>
  <c r="P65" i="3"/>
  <c r="L65" i="3"/>
  <c r="J65" i="3"/>
  <c r="H107" i="9" s="1"/>
  <c r="M107" i="9" s="1"/>
  <c r="I65" i="3"/>
  <c r="F107" i="9" s="1"/>
  <c r="K107" i="9" s="1"/>
  <c r="L107" i="9" s="1"/>
  <c r="D65" i="3"/>
  <c r="B65" i="3"/>
  <c r="AD65" i="6" s="1"/>
  <c r="P64" i="3"/>
  <c r="I64" i="3"/>
  <c r="D64" i="3"/>
  <c r="B64" i="3"/>
  <c r="AD64" i="6" s="1"/>
  <c r="P63" i="3"/>
  <c r="I63" i="3"/>
  <c r="K63" i="3" s="1"/>
  <c r="D63" i="3"/>
  <c r="B63" i="3"/>
  <c r="AD63" i="6" s="1"/>
  <c r="P62" i="3"/>
  <c r="I62" i="3"/>
  <c r="F104" i="9" s="1"/>
  <c r="K104" i="9" s="1"/>
  <c r="L104" i="9" s="1"/>
  <c r="D62" i="3"/>
  <c r="B62" i="3"/>
  <c r="AD62" i="6" s="1"/>
  <c r="P61" i="3"/>
  <c r="I61" i="3"/>
  <c r="K61" i="3" s="1"/>
  <c r="D61" i="3"/>
  <c r="B61" i="3"/>
  <c r="AD61" i="6" s="1"/>
  <c r="P60" i="3"/>
  <c r="L60" i="3"/>
  <c r="I60" i="3"/>
  <c r="D60" i="3"/>
  <c r="B60" i="3"/>
  <c r="AD60" i="6" s="1"/>
  <c r="P59" i="3"/>
  <c r="I59" i="3"/>
  <c r="D59" i="3"/>
  <c r="B59" i="3"/>
  <c r="AD59" i="6" s="1"/>
  <c r="P58" i="3"/>
  <c r="L58" i="3"/>
  <c r="J58" i="3"/>
  <c r="H100" i="9" s="1"/>
  <c r="I58" i="3"/>
  <c r="D58" i="3"/>
  <c r="B58" i="3"/>
  <c r="AD58" i="6" s="1"/>
  <c r="P57" i="3"/>
  <c r="I57" i="3"/>
  <c r="L57" i="3" s="1"/>
  <c r="D57" i="3"/>
  <c r="B57" i="3"/>
  <c r="AD57" i="6" s="1"/>
  <c r="P56" i="3"/>
  <c r="L56" i="3"/>
  <c r="J56" i="3"/>
  <c r="H98" i="9" s="1"/>
  <c r="I56" i="3"/>
  <c r="F98" i="9" s="1"/>
  <c r="D56" i="3"/>
  <c r="B56" i="3"/>
  <c r="AD56" i="6" s="1"/>
  <c r="P55" i="3"/>
  <c r="J55" i="3"/>
  <c r="H97" i="9" s="1"/>
  <c r="I55" i="3"/>
  <c r="D55" i="3"/>
  <c r="B55" i="3"/>
  <c r="AD55" i="6" s="1"/>
  <c r="P54" i="3"/>
  <c r="I54" i="3"/>
  <c r="F96" i="9" s="1"/>
  <c r="D54" i="3"/>
  <c r="B54" i="3"/>
  <c r="AD54" i="6" s="1"/>
  <c r="P53" i="3"/>
  <c r="L53" i="3"/>
  <c r="I53" i="3"/>
  <c r="D53" i="3"/>
  <c r="B53" i="3"/>
  <c r="P52" i="3"/>
  <c r="I52" i="3"/>
  <c r="F94" i="9" s="1"/>
  <c r="K94" i="9" s="1"/>
  <c r="L94" i="9" s="1"/>
  <c r="D52" i="3"/>
  <c r="B52" i="3"/>
  <c r="AD52" i="6" s="1"/>
  <c r="P51" i="3"/>
  <c r="L51" i="3"/>
  <c r="J51" i="3"/>
  <c r="H93" i="9" s="1"/>
  <c r="I51" i="3"/>
  <c r="F93" i="9" s="1"/>
  <c r="D51" i="3"/>
  <c r="B51" i="3"/>
  <c r="AD51" i="6" s="1"/>
  <c r="P50" i="3"/>
  <c r="I50" i="3"/>
  <c r="L50" i="3" s="1"/>
  <c r="D50" i="3"/>
  <c r="B50" i="3"/>
  <c r="AD50" i="6" s="1"/>
  <c r="P49" i="3"/>
  <c r="L49" i="3"/>
  <c r="J49" i="3"/>
  <c r="H91" i="9" s="1"/>
  <c r="M91" i="9" s="1"/>
  <c r="I49" i="3"/>
  <c r="F91" i="9" s="1"/>
  <c r="K91" i="9" s="1"/>
  <c r="L91" i="9" s="1"/>
  <c r="D49" i="3"/>
  <c r="B49" i="3"/>
  <c r="AD49" i="6" s="1"/>
  <c r="P48" i="3"/>
  <c r="I48" i="3"/>
  <c r="D48" i="3"/>
  <c r="B48" i="3"/>
  <c r="AD48" i="6" s="1"/>
  <c r="P47" i="3"/>
  <c r="I47" i="3"/>
  <c r="K47" i="3" s="1"/>
  <c r="D47" i="3"/>
  <c r="B47" i="3"/>
  <c r="AD47" i="6" s="1"/>
  <c r="P46" i="3"/>
  <c r="I46" i="3"/>
  <c r="F88" i="9" s="1"/>
  <c r="K88" i="9" s="1"/>
  <c r="L88" i="9" s="1"/>
  <c r="D46" i="3"/>
  <c r="B46" i="3"/>
  <c r="AD46" i="6" s="1"/>
  <c r="P45" i="3"/>
  <c r="I45" i="3"/>
  <c r="D45" i="3"/>
  <c r="B45" i="3"/>
  <c r="AD45" i="6" s="1"/>
  <c r="P44" i="3"/>
  <c r="L44" i="3"/>
  <c r="I44" i="3"/>
  <c r="F86" i="9" s="1"/>
  <c r="K86" i="9" s="1"/>
  <c r="L86" i="9" s="1"/>
  <c r="D44" i="3"/>
  <c r="B44" i="3"/>
  <c r="AD44" i="6" s="1"/>
  <c r="P43" i="3"/>
  <c r="I43" i="3"/>
  <c r="D43" i="3"/>
  <c r="B43" i="3"/>
  <c r="AD43" i="6" s="1"/>
  <c r="P42" i="3"/>
  <c r="L42" i="3"/>
  <c r="J42" i="3"/>
  <c r="H84" i="9" s="1"/>
  <c r="I42" i="3"/>
  <c r="D42" i="3"/>
  <c r="B42" i="3"/>
  <c r="AD42" i="6" s="1"/>
  <c r="P41" i="3"/>
  <c r="I41" i="3"/>
  <c r="F83" i="9" s="1"/>
  <c r="K83" i="9" s="1"/>
  <c r="L83" i="9" s="1"/>
  <c r="D41" i="3"/>
  <c r="B41" i="3"/>
  <c r="AD41" i="6" s="1"/>
  <c r="P40" i="3"/>
  <c r="L40" i="3"/>
  <c r="J40" i="3"/>
  <c r="H82" i="9" s="1"/>
  <c r="I40" i="3"/>
  <c r="D40" i="3"/>
  <c r="B40" i="3"/>
  <c r="AD40" i="6" s="1"/>
  <c r="P39" i="3"/>
  <c r="J39" i="3"/>
  <c r="H81" i="9" s="1"/>
  <c r="I39" i="3"/>
  <c r="D39" i="3"/>
  <c r="B39" i="3"/>
  <c r="AD39" i="6" s="1"/>
  <c r="P38" i="3"/>
  <c r="I38" i="3"/>
  <c r="L38" i="3" s="1"/>
  <c r="D38" i="3"/>
  <c r="B38" i="3"/>
  <c r="AD38" i="6" s="1"/>
  <c r="P37" i="3"/>
  <c r="L37" i="3"/>
  <c r="I37" i="3"/>
  <c r="D37" i="3"/>
  <c r="B37" i="3"/>
  <c r="P36" i="3"/>
  <c r="I36" i="3"/>
  <c r="F78" i="9" s="1"/>
  <c r="K78" i="9" s="1"/>
  <c r="L78" i="9" s="1"/>
  <c r="D36" i="3"/>
  <c r="B36" i="3"/>
  <c r="AD36" i="6" s="1"/>
  <c r="P35" i="3"/>
  <c r="L35" i="3"/>
  <c r="J35" i="3"/>
  <c r="H77" i="9" s="1"/>
  <c r="I35" i="3"/>
  <c r="D35" i="3"/>
  <c r="B35" i="3"/>
  <c r="AD35" i="6" s="1"/>
  <c r="P34" i="3"/>
  <c r="I34" i="3"/>
  <c r="D34" i="3"/>
  <c r="B34" i="3"/>
  <c r="P33" i="3"/>
  <c r="L33" i="3"/>
  <c r="K33" i="3"/>
  <c r="J33" i="3"/>
  <c r="H75" i="9" s="1"/>
  <c r="M75" i="9" s="1"/>
  <c r="I33" i="3"/>
  <c r="F75" i="9" s="1"/>
  <c r="K75" i="9" s="1"/>
  <c r="L75" i="9" s="1"/>
  <c r="D33" i="3"/>
  <c r="B33" i="3"/>
  <c r="AD33" i="6" s="1"/>
  <c r="P32" i="3"/>
  <c r="I32" i="3"/>
  <c r="D32" i="3"/>
  <c r="B32" i="3"/>
  <c r="P31" i="3"/>
  <c r="I31" i="3"/>
  <c r="L31" i="3" s="1"/>
  <c r="D31" i="3"/>
  <c r="B31" i="3"/>
  <c r="AD31" i="6" s="1"/>
  <c r="P30" i="3"/>
  <c r="I30" i="3"/>
  <c r="J30" i="3" s="1"/>
  <c r="H72" i="9" s="1"/>
  <c r="D30" i="3"/>
  <c r="B30" i="3"/>
  <c r="AD30" i="6" s="1"/>
  <c r="P29" i="3"/>
  <c r="I29" i="3"/>
  <c r="D29" i="3"/>
  <c r="B29" i="3"/>
  <c r="AD29" i="6" s="1"/>
  <c r="P28" i="3"/>
  <c r="L28" i="3"/>
  <c r="I28" i="3"/>
  <c r="F70" i="9" s="1"/>
  <c r="K70" i="9" s="1"/>
  <c r="L70" i="9" s="1"/>
  <c r="D28" i="3"/>
  <c r="B28" i="3"/>
  <c r="AD28" i="6" s="1"/>
  <c r="P27" i="3"/>
  <c r="I27" i="3"/>
  <c r="D27" i="3"/>
  <c r="B27" i="3"/>
  <c r="P26" i="3"/>
  <c r="L26" i="3"/>
  <c r="J26" i="3"/>
  <c r="H68" i="9" s="1"/>
  <c r="I26" i="3"/>
  <c r="D26" i="3"/>
  <c r="B26" i="3"/>
  <c r="AD26" i="6" s="1"/>
  <c r="P25" i="3"/>
  <c r="I25" i="3"/>
  <c r="F67" i="9" s="1"/>
  <c r="K67" i="9" s="1"/>
  <c r="L67" i="9" s="1"/>
  <c r="D25" i="3"/>
  <c r="B25" i="3"/>
  <c r="AD25" i="6" s="1"/>
  <c r="P24" i="3"/>
  <c r="L24" i="3"/>
  <c r="J24" i="3"/>
  <c r="H66" i="9" s="1"/>
  <c r="I24" i="3"/>
  <c r="D24" i="3"/>
  <c r="B24" i="3"/>
  <c r="P23" i="3"/>
  <c r="J23" i="3"/>
  <c r="H65" i="9" s="1"/>
  <c r="M65" i="9" s="1"/>
  <c r="I23" i="3"/>
  <c r="F65" i="9" s="1"/>
  <c r="K65" i="9" s="1"/>
  <c r="L65" i="9" s="1"/>
  <c r="D23" i="3"/>
  <c r="B23" i="3"/>
  <c r="AD23" i="6" s="1"/>
  <c r="P22" i="3"/>
  <c r="I22" i="3"/>
  <c r="D32" i="2" s="1"/>
  <c r="D22" i="3"/>
  <c r="B22" i="3"/>
  <c r="AD22" i="6" s="1"/>
  <c r="P21" i="3"/>
  <c r="L21" i="3"/>
  <c r="I21" i="3"/>
  <c r="J21" i="3" s="1"/>
  <c r="D21" i="3"/>
  <c r="B21" i="3"/>
  <c r="AD21" i="6" s="1"/>
  <c r="P20" i="3"/>
  <c r="I20" i="3"/>
  <c r="L20" i="3" s="1"/>
  <c r="D20" i="3"/>
  <c r="B20" i="3"/>
  <c r="AD20" i="6" s="1"/>
  <c r="P19" i="3"/>
  <c r="L19" i="3"/>
  <c r="J19" i="3"/>
  <c r="H61" i="9" s="1"/>
  <c r="I19" i="3"/>
  <c r="D19" i="3"/>
  <c r="B19" i="3"/>
  <c r="AD19" i="6" s="1"/>
  <c r="P18" i="3"/>
  <c r="I18" i="3"/>
  <c r="F60" i="9" s="1"/>
  <c r="D18" i="3"/>
  <c r="B18" i="3"/>
  <c r="AD18" i="6" s="1"/>
  <c r="P17" i="3"/>
  <c r="L17" i="3"/>
  <c r="K17" i="3"/>
  <c r="A27" i="2" s="1"/>
  <c r="J17" i="3"/>
  <c r="H59" i="9" s="1"/>
  <c r="M59" i="9" s="1"/>
  <c r="I17" i="3"/>
  <c r="F59" i="9" s="1"/>
  <c r="K59" i="9" s="1"/>
  <c r="L59" i="9" s="1"/>
  <c r="D17" i="3"/>
  <c r="B17" i="3"/>
  <c r="AD17" i="6" s="1"/>
  <c r="P16" i="3"/>
  <c r="I16" i="3"/>
  <c r="F58" i="9" s="1"/>
  <c r="D16" i="3"/>
  <c r="B16" i="3"/>
  <c r="AD16" i="6" s="1"/>
  <c r="P15" i="3"/>
  <c r="I15" i="3"/>
  <c r="D25" i="2" s="1"/>
  <c r="D15" i="3"/>
  <c r="B15" i="3"/>
  <c r="AD15" i="6" s="1"/>
  <c r="P14" i="3"/>
  <c r="I14" i="3"/>
  <c r="D14" i="3"/>
  <c r="B14" i="3"/>
  <c r="C24" i="2" s="1"/>
  <c r="P13" i="3"/>
  <c r="I13" i="3"/>
  <c r="J13" i="3" s="1"/>
  <c r="D13" i="3"/>
  <c r="B13" i="3"/>
  <c r="C23" i="2" s="1"/>
  <c r="P12" i="3"/>
  <c r="L12" i="3"/>
  <c r="J12" i="3"/>
  <c r="H54" i="9" s="1"/>
  <c r="I12" i="3"/>
  <c r="D12" i="3"/>
  <c r="B12" i="3"/>
  <c r="AD12" i="6" s="1"/>
  <c r="P11" i="3"/>
  <c r="I11" i="3"/>
  <c r="K11" i="3" s="1"/>
  <c r="A21" i="2" s="1"/>
  <c r="D11" i="3"/>
  <c r="B11" i="3"/>
  <c r="AD11" i="6" s="1"/>
  <c r="P10" i="3"/>
  <c r="D15" i="5" s="1"/>
  <c r="E15" i="5" s="1"/>
  <c r="L10" i="3"/>
  <c r="J10" i="3"/>
  <c r="H52" i="9" s="1"/>
  <c r="I10" i="3"/>
  <c r="F52" i="9" s="1"/>
  <c r="D10" i="3"/>
  <c r="B10" i="3"/>
  <c r="AD10" i="6" s="1"/>
  <c r="P9" i="3"/>
  <c r="I9" i="3"/>
  <c r="F51" i="9" s="1"/>
  <c r="K51" i="9" s="1"/>
  <c r="L51" i="9" s="1"/>
  <c r="D9" i="3"/>
  <c r="B9" i="3"/>
  <c r="AD9" i="6" s="1"/>
  <c r="P8" i="3"/>
  <c r="D16" i="5" s="1"/>
  <c r="E16" i="5" s="1"/>
  <c r="L8" i="3"/>
  <c r="J8" i="3"/>
  <c r="H50" i="9" s="1"/>
  <c r="I8" i="3"/>
  <c r="F50" i="9" s="1"/>
  <c r="D8" i="3"/>
  <c r="B8" i="3"/>
  <c r="AD8" i="6" s="1"/>
  <c r="P7" i="3"/>
  <c r="L7" i="3"/>
  <c r="J7" i="3"/>
  <c r="H49" i="9" s="1"/>
  <c r="I7" i="3"/>
  <c r="D7" i="3"/>
  <c r="B7" i="3"/>
  <c r="P6" i="3"/>
  <c r="I6" i="3"/>
  <c r="K6" i="3" s="1"/>
  <c r="A16" i="2" s="1"/>
  <c r="D6" i="3"/>
  <c r="B6" i="3"/>
  <c r="C16" i="2" s="1"/>
  <c r="P5" i="3"/>
  <c r="L5" i="3"/>
  <c r="I5" i="3"/>
  <c r="D5" i="3"/>
  <c r="B5" i="3"/>
  <c r="P4" i="3"/>
  <c r="I4" i="3"/>
  <c r="K7" i="3" s="1"/>
  <c r="A17" i="2" s="1"/>
  <c r="D4" i="3"/>
  <c r="B4" i="3"/>
  <c r="AD4" i="6" s="1"/>
  <c r="C23" i="1"/>
  <c r="M33" i="2"/>
  <c r="I33" i="2"/>
  <c r="F33" i="2"/>
  <c r="D33" i="2"/>
  <c r="C33" i="2"/>
  <c r="B33" i="2"/>
  <c r="M32" i="2"/>
  <c r="L32" i="2"/>
  <c r="K32" i="2"/>
  <c r="J32" i="2"/>
  <c r="I32" i="2"/>
  <c r="F32" i="2"/>
  <c r="B32" i="2"/>
  <c r="M31" i="2"/>
  <c r="K31" i="2"/>
  <c r="J31" i="2"/>
  <c r="I31" i="2"/>
  <c r="F31" i="2"/>
  <c r="D31" i="2"/>
  <c r="C31" i="2"/>
  <c r="B31" i="2"/>
  <c r="M30" i="2"/>
  <c r="K30" i="2"/>
  <c r="J30" i="2"/>
  <c r="I30" i="2"/>
  <c r="F30" i="2"/>
  <c r="D30" i="2"/>
  <c r="B30" i="2"/>
  <c r="M29" i="2"/>
  <c r="L29" i="2"/>
  <c r="K29" i="2"/>
  <c r="I29" i="2"/>
  <c r="F29" i="2"/>
  <c r="D29" i="2"/>
  <c r="C29" i="2"/>
  <c r="B29" i="2"/>
  <c r="M28" i="2"/>
  <c r="K28" i="2"/>
  <c r="J28" i="2"/>
  <c r="I28" i="2"/>
  <c r="F28" i="2"/>
  <c r="B28" i="2"/>
  <c r="M27" i="2"/>
  <c r="K27" i="2"/>
  <c r="J27" i="2"/>
  <c r="I27" i="2"/>
  <c r="F27" i="2"/>
  <c r="E27" i="2"/>
  <c r="D27" i="2"/>
  <c r="C27" i="2"/>
  <c r="B27" i="2"/>
  <c r="M26" i="2"/>
  <c r="I26" i="2"/>
  <c r="F26" i="2"/>
  <c r="D26" i="2"/>
  <c r="C26" i="2"/>
  <c r="B26" i="2"/>
  <c r="M25" i="2"/>
  <c r="L25" i="2"/>
  <c r="K25" i="2"/>
  <c r="J25" i="2"/>
  <c r="I25" i="2"/>
  <c r="F25" i="2"/>
  <c r="C25" i="2"/>
  <c r="B25" i="2"/>
  <c r="M24" i="2"/>
  <c r="K24" i="2"/>
  <c r="J24" i="2"/>
  <c r="I24" i="2"/>
  <c r="F24" i="2"/>
  <c r="B24" i="2"/>
  <c r="M23" i="2"/>
  <c r="L23" i="2"/>
  <c r="K23" i="2"/>
  <c r="J23" i="2"/>
  <c r="I23" i="2"/>
  <c r="F23" i="2"/>
  <c r="B23" i="2"/>
  <c r="M22" i="2"/>
  <c r="K22" i="2"/>
  <c r="I22" i="2"/>
  <c r="F22" i="2"/>
  <c r="E22" i="2"/>
  <c r="D22" i="2"/>
  <c r="C22" i="2"/>
  <c r="B22" i="2"/>
  <c r="M21" i="2"/>
  <c r="J21" i="2"/>
  <c r="I21" i="2"/>
  <c r="F21" i="2"/>
  <c r="B21" i="2"/>
  <c r="M20" i="2"/>
  <c r="K20" i="2"/>
  <c r="J20" i="2"/>
  <c r="I20" i="2"/>
  <c r="F20" i="2"/>
  <c r="C20" i="2"/>
  <c r="B20" i="2"/>
  <c r="M19" i="2"/>
  <c r="I19" i="2"/>
  <c r="F19" i="2"/>
  <c r="D19" i="2"/>
  <c r="B19" i="2"/>
  <c r="M18" i="2"/>
  <c r="K18" i="2"/>
  <c r="J18" i="2"/>
  <c r="I18" i="2"/>
  <c r="F18" i="2"/>
  <c r="D18" i="2"/>
  <c r="C18" i="2"/>
  <c r="B18" i="2"/>
  <c r="M17" i="2"/>
  <c r="I17" i="2"/>
  <c r="F17" i="2"/>
  <c r="D17" i="2"/>
  <c r="C17" i="2"/>
  <c r="B17" i="2"/>
  <c r="M16" i="2"/>
  <c r="L16" i="2"/>
  <c r="K16" i="2"/>
  <c r="J16" i="2"/>
  <c r="I16" i="2"/>
  <c r="F16" i="2"/>
  <c r="B16" i="2"/>
  <c r="M15" i="2"/>
  <c r="K15" i="2"/>
  <c r="J15" i="2"/>
  <c r="I15" i="2"/>
  <c r="F15" i="2"/>
  <c r="D15" i="2"/>
  <c r="C15" i="2"/>
  <c r="B15" i="2"/>
  <c r="M14" i="2"/>
  <c r="K14" i="2"/>
  <c r="J14" i="2"/>
  <c r="I14" i="2"/>
  <c r="F14" i="2"/>
  <c r="D14" i="2"/>
  <c r="B14" i="2"/>
  <c r="H55" i="9" l="1"/>
  <c r="E23" i="2"/>
  <c r="AB12" i="6"/>
  <c r="H158" i="9"/>
  <c r="L26" i="2"/>
  <c r="M172" i="9"/>
  <c r="AB20" i="6"/>
  <c r="M185" i="9"/>
  <c r="M192" i="9"/>
  <c r="M131" i="9"/>
  <c r="H63" i="9"/>
  <c r="E31" i="2"/>
  <c r="M124" i="9"/>
  <c r="O32" i="6"/>
  <c r="AC32" i="6" s="1"/>
  <c r="AB39" i="6"/>
  <c r="O62" i="6"/>
  <c r="AC62" i="6" s="1"/>
  <c r="H153" i="9"/>
  <c r="L21" i="2"/>
  <c r="AB10" i="6"/>
  <c r="K65" i="3"/>
  <c r="F121" i="9"/>
  <c r="T79" i="6"/>
  <c r="F169" i="9"/>
  <c r="K169" i="9" s="1"/>
  <c r="L169" i="9" s="1"/>
  <c r="T127" i="6"/>
  <c r="C25" i="6"/>
  <c r="J25" i="6" s="1"/>
  <c r="F25" i="6"/>
  <c r="G25" i="6" s="1"/>
  <c r="N25" i="6" s="1"/>
  <c r="X25" i="6" s="1"/>
  <c r="E25" i="6"/>
  <c r="L25" i="6" s="1"/>
  <c r="M25" i="6" s="1"/>
  <c r="Y25" i="6" s="1"/>
  <c r="AA25" i="6" s="1"/>
  <c r="C30" i="2"/>
  <c r="F71" i="9"/>
  <c r="T29" i="6"/>
  <c r="K31" i="3"/>
  <c r="J38" i="3"/>
  <c r="H80" i="9" s="1"/>
  <c r="F87" i="9"/>
  <c r="T45" i="6"/>
  <c r="F151" i="9"/>
  <c r="T109" i="6"/>
  <c r="I25" i="6"/>
  <c r="H25" i="6"/>
  <c r="L62" i="6"/>
  <c r="M62" i="6" s="1"/>
  <c r="Y62" i="6" s="1"/>
  <c r="AA62" i="6" s="1"/>
  <c r="F174" i="9"/>
  <c r="K174" i="9" s="1"/>
  <c r="L174" i="9" s="1"/>
  <c r="T132" i="6"/>
  <c r="L143" i="3"/>
  <c r="F190" i="9"/>
  <c r="K190" i="9" s="1"/>
  <c r="L190" i="9" s="1"/>
  <c r="T148" i="6"/>
  <c r="K150" i="3"/>
  <c r="J157" i="3"/>
  <c r="H199" i="9" s="1"/>
  <c r="L159" i="3"/>
  <c r="F206" i="9"/>
  <c r="K206" i="9" s="1"/>
  <c r="L206" i="9" s="1"/>
  <c r="T164" i="6"/>
  <c r="K166" i="3"/>
  <c r="J173" i="3"/>
  <c r="H215" i="9" s="1"/>
  <c r="L175" i="3"/>
  <c r="F222" i="9"/>
  <c r="K222" i="9" s="1"/>
  <c r="L222" i="9" s="1"/>
  <c r="M222" i="9" s="1"/>
  <c r="T180" i="6"/>
  <c r="L191" i="3"/>
  <c r="F6" i="6"/>
  <c r="G6" i="6" s="1"/>
  <c r="N6" i="6" s="1"/>
  <c r="E6" i="6"/>
  <c r="L6" i="6" s="1"/>
  <c r="M6" i="6" s="1"/>
  <c r="Y6" i="6" s="1"/>
  <c r="AA6" i="6" s="1"/>
  <c r="D6" i="6"/>
  <c r="K6" i="6" s="1"/>
  <c r="C6" i="6"/>
  <c r="J6" i="6" s="1"/>
  <c r="I8" i="6"/>
  <c r="H8" i="6"/>
  <c r="F15" i="6"/>
  <c r="G15" i="6" s="1"/>
  <c r="N15" i="6" s="1"/>
  <c r="E15" i="6"/>
  <c r="D15" i="6"/>
  <c r="D16" i="6"/>
  <c r="D25" i="6"/>
  <c r="C33" i="6"/>
  <c r="J33" i="6" s="1"/>
  <c r="F33" i="6"/>
  <c r="G33" i="6" s="1"/>
  <c r="N33" i="6" s="1"/>
  <c r="X33" i="6" s="1"/>
  <c r="L46" i="6"/>
  <c r="M46" i="6" s="1"/>
  <c r="Y46" i="6" s="1"/>
  <c r="AA46" i="6" s="1"/>
  <c r="O68" i="6"/>
  <c r="AC68" i="6" s="1"/>
  <c r="L71" i="6"/>
  <c r="M71" i="6" s="1"/>
  <c r="I71" i="6"/>
  <c r="H71" i="6"/>
  <c r="F105" i="9"/>
  <c r="K105" i="9" s="1"/>
  <c r="L105" i="9" s="1"/>
  <c r="T63" i="6"/>
  <c r="K97" i="3"/>
  <c r="X51" i="6"/>
  <c r="K8" i="3"/>
  <c r="A18" i="2" s="1"/>
  <c r="J15" i="3"/>
  <c r="I13" i="8" s="1"/>
  <c r="F176" i="9"/>
  <c r="K176" i="9" s="1"/>
  <c r="L176" i="9" s="1"/>
  <c r="T134" i="6"/>
  <c r="J6" i="3"/>
  <c r="F55" i="9"/>
  <c r="T13" i="6"/>
  <c r="K143" i="3"/>
  <c r="K38" i="3"/>
  <c r="K54" i="3"/>
  <c r="J61" i="3"/>
  <c r="H103" i="9" s="1"/>
  <c r="L79" i="3"/>
  <c r="L95" i="3"/>
  <c r="F69" i="9"/>
  <c r="K69" i="9" s="1"/>
  <c r="L69" i="9" s="1"/>
  <c r="T27" i="6"/>
  <c r="K29" i="3"/>
  <c r="J36" i="3"/>
  <c r="H78" i="9" s="1"/>
  <c r="M78" i="9" s="1"/>
  <c r="F85" i="9"/>
  <c r="K85" i="9" s="1"/>
  <c r="L85" i="9" s="1"/>
  <c r="T43" i="6"/>
  <c r="J52" i="3"/>
  <c r="H94" i="9" s="1"/>
  <c r="M94" i="9" s="1"/>
  <c r="L54" i="3"/>
  <c r="F101" i="9"/>
  <c r="K101" i="9" s="1"/>
  <c r="L101" i="9" s="1"/>
  <c r="T59" i="6"/>
  <c r="K109" i="3"/>
  <c r="H19" i="2" s="1"/>
  <c r="K20" i="3"/>
  <c r="A30" i="2" s="1"/>
  <c r="J27" i="3"/>
  <c r="H69" i="9" s="1"/>
  <c r="L29" i="3"/>
  <c r="F76" i="9"/>
  <c r="T34" i="6"/>
  <c r="J43" i="3"/>
  <c r="H85" i="9" s="1"/>
  <c r="K164" i="3"/>
  <c r="L173" i="3"/>
  <c r="M236" i="9"/>
  <c r="J202" i="3"/>
  <c r="H244" i="9" s="1"/>
  <c r="M244" i="9" s="1"/>
  <c r="F7" i="6"/>
  <c r="G7" i="6" s="1"/>
  <c r="N7" i="6" s="1"/>
  <c r="E7" i="6"/>
  <c r="D7" i="6"/>
  <c r="J34" i="3"/>
  <c r="H76" i="9" s="1"/>
  <c r="L52" i="3"/>
  <c r="J98" i="3"/>
  <c r="H140" i="9" s="1"/>
  <c r="K161" i="3"/>
  <c r="AD13" i="6"/>
  <c r="C35" i="7"/>
  <c r="F48" i="9"/>
  <c r="T6" i="6"/>
  <c r="K24" i="3"/>
  <c r="J31" i="3"/>
  <c r="H73" i="9" s="1"/>
  <c r="M73" i="9" s="1"/>
  <c r="K56" i="3"/>
  <c r="J63" i="3"/>
  <c r="H105" i="9" s="1"/>
  <c r="M105" i="9" s="1"/>
  <c r="F128" i="9"/>
  <c r="K128" i="9" s="1"/>
  <c r="L128" i="9" s="1"/>
  <c r="T86" i="6"/>
  <c r="J95" i="3"/>
  <c r="H137" i="9" s="1"/>
  <c r="F144" i="9"/>
  <c r="K144" i="9" s="1"/>
  <c r="L144" i="9" s="1"/>
  <c r="T102" i="6"/>
  <c r="F224" i="9"/>
  <c r="K224" i="9" s="1"/>
  <c r="L224" i="9" s="1"/>
  <c r="T182" i="6"/>
  <c r="F238" i="9"/>
  <c r="K238" i="9" s="1"/>
  <c r="L238" i="9" s="1"/>
  <c r="T196" i="6"/>
  <c r="K196" i="3"/>
  <c r="J102" i="3"/>
  <c r="H144" i="9" s="1"/>
  <c r="M144" i="9" s="1"/>
  <c r="F231" i="9"/>
  <c r="K231" i="9" s="1"/>
  <c r="L231" i="9" s="1"/>
  <c r="M231" i="9" s="1"/>
  <c r="T189" i="6"/>
  <c r="J196" i="3"/>
  <c r="H238" i="9" s="1"/>
  <c r="M238" i="9" s="1"/>
  <c r="V47" i="6"/>
  <c r="AB47" i="6" s="1"/>
  <c r="F133" i="9"/>
  <c r="T91" i="6"/>
  <c r="K93" i="3"/>
  <c r="J100" i="3"/>
  <c r="H142" i="9" s="1"/>
  <c r="L102" i="3"/>
  <c r="F149" i="9"/>
  <c r="K149" i="9" s="1"/>
  <c r="L149" i="9" s="1"/>
  <c r="T107" i="6"/>
  <c r="V26" i="6"/>
  <c r="K43" i="3"/>
  <c r="J50" i="3"/>
  <c r="H92" i="9" s="1"/>
  <c r="F163" i="9"/>
  <c r="K163" i="9" s="1"/>
  <c r="L163" i="9" s="1"/>
  <c r="T121" i="6"/>
  <c r="K123" i="3"/>
  <c r="H33" i="2" s="1"/>
  <c r="F211" i="9"/>
  <c r="K211" i="9" s="1"/>
  <c r="L211" i="9" s="1"/>
  <c r="T169" i="6"/>
  <c r="J178" i="3"/>
  <c r="H220" i="9" s="1"/>
  <c r="L180" i="3"/>
  <c r="F227" i="9"/>
  <c r="K227" i="9" s="1"/>
  <c r="L227" i="9" s="1"/>
  <c r="T185" i="6"/>
  <c r="K187" i="3"/>
  <c r="K202" i="3"/>
  <c r="V34" i="6"/>
  <c r="O59" i="6"/>
  <c r="AC59" i="6" s="1"/>
  <c r="V59" i="6"/>
  <c r="D21" i="2"/>
  <c r="F74" i="9"/>
  <c r="K74" i="9" s="1"/>
  <c r="L74" i="9" s="1"/>
  <c r="T32" i="6"/>
  <c r="K34" i="3"/>
  <c r="J41" i="3"/>
  <c r="H83" i="9" s="1"/>
  <c r="M83" i="9" s="1"/>
  <c r="L43" i="3"/>
  <c r="F106" i="9"/>
  <c r="T64" i="6"/>
  <c r="K66" i="3"/>
  <c r="J73" i="3"/>
  <c r="H115" i="9" s="1"/>
  <c r="L75" i="3"/>
  <c r="F122" i="9"/>
  <c r="T80" i="6"/>
  <c r="K82" i="3"/>
  <c r="L91" i="3"/>
  <c r="F138" i="9"/>
  <c r="K138" i="9" s="1"/>
  <c r="L138" i="9" s="1"/>
  <c r="T96" i="6"/>
  <c r="J105" i="3"/>
  <c r="N12" i="8" s="1"/>
  <c r="L107" i="3"/>
  <c r="F154" i="9"/>
  <c r="T112" i="6"/>
  <c r="K114" i="3"/>
  <c r="H24" i="2" s="1"/>
  <c r="J121" i="3"/>
  <c r="F170" i="9"/>
  <c r="T128" i="6"/>
  <c r="K130" i="3"/>
  <c r="J137" i="3"/>
  <c r="H179" i="9" s="1"/>
  <c r="L139" i="3"/>
  <c r="F186" i="9"/>
  <c r="T144" i="6"/>
  <c r="K146" i="3"/>
  <c r="J153" i="3"/>
  <c r="H195" i="9" s="1"/>
  <c r="M195" i="9" s="1"/>
  <c r="F202" i="9"/>
  <c r="K202" i="9" s="1"/>
  <c r="L202" i="9" s="1"/>
  <c r="T160" i="6"/>
  <c r="K162" i="3"/>
  <c r="J169" i="3"/>
  <c r="H211" i="9" s="1"/>
  <c r="L171" i="3"/>
  <c r="F218" i="9"/>
  <c r="T176" i="6"/>
  <c r="K178" i="3"/>
  <c r="J185" i="3"/>
  <c r="H227" i="9" s="1"/>
  <c r="M227" i="9" s="1"/>
  <c r="L187" i="3"/>
  <c r="C7" i="6"/>
  <c r="J7" i="6" s="1"/>
  <c r="T17" i="6"/>
  <c r="X21" i="6"/>
  <c r="W22" i="6"/>
  <c r="T23" i="6"/>
  <c r="V29" i="6"/>
  <c r="AB29" i="6" s="1"/>
  <c r="J58" i="6"/>
  <c r="K60" i="6"/>
  <c r="N71" i="6"/>
  <c r="AB106" i="6"/>
  <c r="K49" i="3"/>
  <c r="F201" i="9"/>
  <c r="K201" i="9" s="1"/>
  <c r="L201" i="9" s="1"/>
  <c r="T159" i="6"/>
  <c r="F217" i="9"/>
  <c r="K217" i="9" s="1"/>
  <c r="L217" i="9" s="1"/>
  <c r="T175" i="6"/>
  <c r="K104" i="3"/>
  <c r="H14" i="2" s="1"/>
  <c r="F160" i="9"/>
  <c r="K160" i="9" s="1"/>
  <c r="L160" i="9" s="1"/>
  <c r="T118" i="6"/>
  <c r="J54" i="3"/>
  <c r="H96" i="9" s="1"/>
  <c r="F103" i="9"/>
  <c r="T61" i="6"/>
  <c r="F119" i="9"/>
  <c r="T77" i="6"/>
  <c r="K79" i="3"/>
  <c r="J86" i="3"/>
  <c r="H128" i="9" s="1"/>
  <c r="M128" i="9" s="1"/>
  <c r="F135" i="9"/>
  <c r="T93" i="6"/>
  <c r="J118" i="3"/>
  <c r="O26" i="6"/>
  <c r="AC26" i="6" s="1"/>
  <c r="I28" i="6"/>
  <c r="L28" i="6"/>
  <c r="M28" i="6" s="1"/>
  <c r="Y28" i="6" s="1"/>
  <c r="AA28" i="6" s="1"/>
  <c r="H28" i="6"/>
  <c r="K28" i="6" s="1"/>
  <c r="F158" i="9"/>
  <c r="K158" i="9" s="1"/>
  <c r="L158" i="9" s="1"/>
  <c r="T116" i="6"/>
  <c r="J125" i="3"/>
  <c r="H167" i="9" s="1"/>
  <c r="L127" i="3"/>
  <c r="E18" i="2"/>
  <c r="J4" i="3"/>
  <c r="F165" i="9"/>
  <c r="K165" i="9" s="1"/>
  <c r="L165" i="9" s="1"/>
  <c r="T123" i="6"/>
  <c r="J132" i="3"/>
  <c r="H174" i="9" s="1"/>
  <c r="L134" i="3"/>
  <c r="X96" i="6"/>
  <c r="F140" i="9"/>
  <c r="K140" i="9" s="1"/>
  <c r="L140" i="9" s="1"/>
  <c r="T98" i="6"/>
  <c r="K100" i="3"/>
  <c r="J107" i="3"/>
  <c r="N7" i="8" s="1"/>
  <c r="L109" i="3"/>
  <c r="L65" i="6"/>
  <c r="M65" i="6" s="1"/>
  <c r="I65" i="6"/>
  <c r="H65" i="6"/>
  <c r="L4" i="3"/>
  <c r="F131" i="9"/>
  <c r="K131" i="9" s="1"/>
  <c r="L131" i="9" s="1"/>
  <c r="T89" i="6"/>
  <c r="K91" i="3"/>
  <c r="J114" i="3"/>
  <c r="L58" i="6"/>
  <c r="M58" i="6" s="1"/>
  <c r="Y58" i="6" s="1"/>
  <c r="AA58" i="6" s="1"/>
  <c r="I58" i="6"/>
  <c r="H58" i="6"/>
  <c r="K58" i="6" s="1"/>
  <c r="W58" i="6" s="1"/>
  <c r="O66" i="6"/>
  <c r="AC66" i="6" s="1"/>
  <c r="N98" i="6"/>
  <c r="X98" i="6" s="1"/>
  <c r="V136" i="6"/>
  <c r="F15" i="8"/>
  <c r="H15" i="8" s="1"/>
  <c r="K14" i="8"/>
  <c r="M14" i="8" s="1"/>
  <c r="I14" i="8"/>
  <c r="C45" i="7"/>
  <c r="I12" i="8"/>
  <c r="F9" i="8"/>
  <c r="H9" i="8" s="1"/>
  <c r="K7" i="8"/>
  <c r="M7" i="8" s="1"/>
  <c r="C44" i="7"/>
  <c r="F12" i="8"/>
  <c r="H12" i="8" s="1"/>
  <c r="K10" i="8"/>
  <c r="M10" i="8" s="1"/>
  <c r="I7" i="8"/>
  <c r="C58" i="7"/>
  <c r="C42" i="7"/>
  <c r="K15" i="8"/>
  <c r="M15" i="8" s="1"/>
  <c r="C57" i="7"/>
  <c r="C41" i="7"/>
  <c r="K13" i="8"/>
  <c r="M13" i="8" s="1"/>
  <c r="I10" i="8"/>
  <c r="F7" i="8"/>
  <c r="H7" i="8" s="1"/>
  <c r="C56" i="7"/>
  <c r="C40" i="7"/>
  <c r="C55" i="7"/>
  <c r="C39" i="7"/>
  <c r="N11" i="8"/>
  <c r="F10" i="8"/>
  <c r="H10" i="8" s="1"/>
  <c r="K8" i="8"/>
  <c r="M8" i="8" s="1"/>
  <c r="C54" i="7"/>
  <c r="I8" i="8"/>
  <c r="F6" i="8"/>
  <c r="F8" i="8"/>
  <c r="H8" i="8" s="1"/>
  <c r="N14" i="8"/>
  <c r="K12" i="8"/>
  <c r="M12" i="8" s="1"/>
  <c r="C53" i="7"/>
  <c r="C52" i="7"/>
  <c r="N9" i="8"/>
  <c r="C51" i="7"/>
  <c r="C50" i="7"/>
  <c r="C48" i="7"/>
  <c r="C47" i="7"/>
  <c r="F13" i="8"/>
  <c r="H13" i="8" s="1"/>
  <c r="C46" i="7"/>
  <c r="C43" i="7"/>
  <c r="K9" i="8"/>
  <c r="M9" i="8" s="1"/>
  <c r="K6" i="8"/>
  <c r="M6" i="8" s="1"/>
  <c r="I6" i="8"/>
  <c r="K11" i="8"/>
  <c r="M11" i="8" s="1"/>
  <c r="C49" i="7"/>
  <c r="F14" i="8"/>
  <c r="H14" i="8" s="1"/>
  <c r="F11" i="8"/>
  <c r="H11" i="8" s="1"/>
  <c r="C13" i="7"/>
  <c r="N6" i="8"/>
  <c r="D12" i="5"/>
  <c r="J9" i="3"/>
  <c r="I15" i="8" s="1"/>
  <c r="L11" i="3"/>
  <c r="K18" i="3"/>
  <c r="A28" i="2" s="1"/>
  <c r="J25" i="3"/>
  <c r="H67" i="9" s="1"/>
  <c r="M67" i="9" s="1"/>
  <c r="L27" i="3"/>
  <c r="F90" i="9"/>
  <c r="T48" i="6"/>
  <c r="K50" i="3"/>
  <c r="J57" i="3"/>
  <c r="H99" i="9" s="1"/>
  <c r="L59" i="3"/>
  <c r="E17" i="2"/>
  <c r="J22" i="2"/>
  <c r="J26" i="2"/>
  <c r="E29" i="2"/>
  <c r="E33" i="2"/>
  <c r="F49" i="9"/>
  <c r="K49" i="9" s="1"/>
  <c r="L49" i="9" s="1"/>
  <c r="T7" i="6"/>
  <c r="K9" i="3"/>
  <c r="A19" i="2" s="1"/>
  <c r="J16" i="3"/>
  <c r="L18" i="3"/>
  <c r="K25" i="3"/>
  <c r="J32" i="3"/>
  <c r="H74" i="9" s="1"/>
  <c r="L34" i="3"/>
  <c r="F81" i="9"/>
  <c r="T39" i="6"/>
  <c r="K41" i="3"/>
  <c r="J48" i="3"/>
  <c r="H90" i="9" s="1"/>
  <c r="F97" i="9"/>
  <c r="T55" i="6"/>
  <c r="K57" i="3"/>
  <c r="J64" i="3"/>
  <c r="H106" i="9" s="1"/>
  <c r="L66" i="3"/>
  <c r="F113" i="9"/>
  <c r="K113" i="9" s="1"/>
  <c r="L113" i="9" s="1"/>
  <c r="M113" i="9" s="1"/>
  <c r="T71" i="6"/>
  <c r="K73" i="3"/>
  <c r="J80" i="3"/>
  <c r="H122" i="9" s="1"/>
  <c r="L82" i="3"/>
  <c r="F129" i="9"/>
  <c r="K129" i="9" s="1"/>
  <c r="L129" i="9" s="1"/>
  <c r="T87" i="6"/>
  <c r="K89" i="3"/>
  <c r="J96" i="3"/>
  <c r="H138" i="9" s="1"/>
  <c r="L98" i="3"/>
  <c r="F145" i="9"/>
  <c r="K145" i="9" s="1"/>
  <c r="L145" i="9" s="1"/>
  <c r="M145" i="9" s="1"/>
  <c r="T103" i="6"/>
  <c r="K105" i="3"/>
  <c r="H15" i="2" s="1"/>
  <c r="J112" i="3"/>
  <c r="N8" i="8" s="1"/>
  <c r="F161" i="9"/>
  <c r="K161" i="9" s="1"/>
  <c r="L161" i="9" s="1"/>
  <c r="M161" i="9" s="1"/>
  <c r="T119" i="6"/>
  <c r="K121" i="3"/>
  <c r="H31" i="2" s="1"/>
  <c r="J128" i="3"/>
  <c r="H170" i="9" s="1"/>
  <c r="L130" i="3"/>
  <c r="F177" i="9"/>
  <c r="T135" i="6"/>
  <c r="K137" i="3"/>
  <c r="J144" i="3"/>
  <c r="H186" i="9" s="1"/>
  <c r="L146" i="3"/>
  <c r="F193" i="9"/>
  <c r="T151" i="6"/>
  <c r="K153" i="3"/>
  <c r="J160" i="3"/>
  <c r="H202" i="9" s="1"/>
  <c r="F209" i="9"/>
  <c r="K209" i="9" s="1"/>
  <c r="L209" i="9" s="1"/>
  <c r="M209" i="9" s="1"/>
  <c r="T167" i="6"/>
  <c r="K169" i="3"/>
  <c r="J176" i="3"/>
  <c r="H218" i="9" s="1"/>
  <c r="F225" i="9"/>
  <c r="K225" i="9" s="1"/>
  <c r="L225" i="9" s="1"/>
  <c r="M225" i="9" s="1"/>
  <c r="T183" i="6"/>
  <c r="K185" i="3"/>
  <c r="X9" i="6"/>
  <c r="O11" i="6"/>
  <c r="AC11" i="6" s="1"/>
  <c r="T18" i="6"/>
  <c r="Y22" i="6"/>
  <c r="AA22" i="6" s="1"/>
  <c r="T25" i="6"/>
  <c r="W29" i="6"/>
  <c r="V30" i="6"/>
  <c r="Y38" i="6"/>
  <c r="AA38" i="6" s="1"/>
  <c r="N44" i="6"/>
  <c r="X44" i="6" s="1"/>
  <c r="T46" i="6"/>
  <c r="L51" i="6"/>
  <c r="M51" i="6" s="1"/>
  <c r="I51" i="6"/>
  <c r="H51" i="6"/>
  <c r="V66" i="6"/>
  <c r="X67" i="6"/>
  <c r="V71" i="6"/>
  <c r="O75" i="6"/>
  <c r="AC75" i="6" s="1"/>
  <c r="L116" i="3"/>
  <c r="O19" i="6"/>
  <c r="AC19" i="6" s="1"/>
  <c r="F54" i="6"/>
  <c r="G54" i="6" s="1"/>
  <c r="N54" i="6" s="1"/>
  <c r="X54" i="6" s="1"/>
  <c r="E54" i="6"/>
  <c r="L54" i="6" s="1"/>
  <c r="M54" i="6" s="1"/>
  <c r="Y54" i="6" s="1"/>
  <c r="AA54" i="6" s="1"/>
  <c r="D54" i="6"/>
  <c r="K54" i="6" s="1"/>
  <c r="T56" i="6"/>
  <c r="F56" i="9"/>
  <c r="K56" i="9" s="1"/>
  <c r="L56" i="9" s="1"/>
  <c r="T14" i="6"/>
  <c r="K16" i="3"/>
  <c r="A26" i="2" s="1"/>
  <c r="L25" i="3"/>
  <c r="K48" i="3"/>
  <c r="K64" i="3"/>
  <c r="F120" i="9"/>
  <c r="T78" i="6"/>
  <c r="K80" i="3"/>
  <c r="M129" i="9"/>
  <c r="L89" i="3"/>
  <c r="F136" i="9"/>
  <c r="K136" i="9" s="1"/>
  <c r="L136" i="9" s="1"/>
  <c r="T94" i="6"/>
  <c r="K96" i="3"/>
  <c r="F152" i="9"/>
  <c r="T110" i="6"/>
  <c r="K112" i="3"/>
  <c r="H22" i="2" s="1"/>
  <c r="L121" i="3"/>
  <c r="F168" i="9"/>
  <c r="T126" i="6"/>
  <c r="K128" i="3"/>
  <c r="F184" i="9"/>
  <c r="K184" i="9" s="1"/>
  <c r="L184" i="9" s="1"/>
  <c r="T142" i="6"/>
  <c r="K144" i="3"/>
  <c r="F200" i="9"/>
  <c r="K200" i="9" s="1"/>
  <c r="L200" i="9" s="1"/>
  <c r="T158" i="6"/>
  <c r="K160" i="3"/>
  <c r="L169" i="3"/>
  <c r="F216" i="9"/>
  <c r="T174" i="6"/>
  <c r="K176" i="3"/>
  <c r="L185" i="3"/>
  <c r="F242" i="9"/>
  <c r="T200" i="6"/>
  <c r="W8" i="6"/>
  <c r="T9" i="6"/>
  <c r="X13" i="6"/>
  <c r="V15" i="6"/>
  <c r="X16" i="6"/>
  <c r="X22" i="6"/>
  <c r="V24" i="6"/>
  <c r="X48" i="6"/>
  <c r="T62" i="6"/>
  <c r="W66" i="6"/>
  <c r="T72" i="6"/>
  <c r="V83" i="6"/>
  <c r="K97" i="6"/>
  <c r="W97" i="6" s="1"/>
  <c r="L132" i="3"/>
  <c r="X77" i="6"/>
  <c r="L14" i="2"/>
  <c r="C28" i="2"/>
  <c r="L30" i="2"/>
  <c r="C32" i="2"/>
  <c r="F47" i="9"/>
  <c r="T5" i="6"/>
  <c r="K23" i="3"/>
  <c r="A33" i="2" s="1"/>
  <c r="L32" i="3"/>
  <c r="F79" i="9"/>
  <c r="K79" i="9" s="1"/>
  <c r="L79" i="9" s="1"/>
  <c r="T37" i="6"/>
  <c r="K39" i="3"/>
  <c r="J46" i="3"/>
  <c r="H88" i="9" s="1"/>
  <c r="M88" i="9" s="1"/>
  <c r="L48" i="3"/>
  <c r="F95" i="9"/>
  <c r="K95" i="9" s="1"/>
  <c r="L95" i="9" s="1"/>
  <c r="T53" i="6"/>
  <c r="K55" i="3"/>
  <c r="J62" i="3"/>
  <c r="H104" i="9" s="1"/>
  <c r="M104" i="9" s="1"/>
  <c r="L64" i="3"/>
  <c r="F111" i="9"/>
  <c r="T69" i="6"/>
  <c r="K71" i="3"/>
  <c r="J78" i="3"/>
  <c r="H120" i="9" s="1"/>
  <c r="L80" i="3"/>
  <c r="F127" i="9"/>
  <c r="T85" i="6"/>
  <c r="K87" i="3"/>
  <c r="J94" i="3"/>
  <c r="H136" i="9" s="1"/>
  <c r="L96" i="3"/>
  <c r="F143" i="9"/>
  <c r="T101" i="6"/>
  <c r="K103" i="3"/>
  <c r="J110" i="3"/>
  <c r="N13" i="8" s="1"/>
  <c r="L112" i="3"/>
  <c r="F159" i="9"/>
  <c r="T117" i="6"/>
  <c r="K119" i="3"/>
  <c r="H29" i="2" s="1"/>
  <c r="J126" i="3"/>
  <c r="H168" i="9" s="1"/>
  <c r="L128" i="3"/>
  <c r="F175" i="9"/>
  <c r="T133" i="6"/>
  <c r="K135" i="3"/>
  <c r="J142" i="3"/>
  <c r="H184" i="9" s="1"/>
  <c r="L144" i="3"/>
  <c r="F191" i="9"/>
  <c r="K191" i="9" s="1"/>
  <c r="L191" i="9" s="1"/>
  <c r="T149" i="6"/>
  <c r="K151" i="3"/>
  <c r="J158" i="3"/>
  <c r="H200" i="9" s="1"/>
  <c r="M200" i="9" s="1"/>
  <c r="L160" i="3"/>
  <c r="F207" i="9"/>
  <c r="T165" i="6"/>
  <c r="K167" i="3"/>
  <c r="J174" i="3"/>
  <c r="H216" i="9" s="1"/>
  <c r="L176" i="3"/>
  <c r="F223" i="9"/>
  <c r="T181" i="6"/>
  <c r="K183" i="3"/>
  <c r="J200" i="3"/>
  <c r="H242" i="9" s="1"/>
  <c r="T10" i="6"/>
  <c r="V14" i="6"/>
  <c r="T16" i="6"/>
  <c r="AB18" i="6"/>
  <c r="T28" i="6"/>
  <c r="Y30" i="6"/>
  <c r="AA30" i="6" s="1"/>
  <c r="W34" i="6"/>
  <c r="T36" i="6"/>
  <c r="K51" i="6"/>
  <c r="O51" i="6" s="1"/>
  <c r="AC51" i="6" s="1"/>
  <c r="N58" i="6"/>
  <c r="X58" i="6" s="1"/>
  <c r="Y65" i="6"/>
  <c r="AA65" i="6" s="1"/>
  <c r="X76" i="6"/>
  <c r="O78" i="6"/>
  <c r="AC78" i="6" s="1"/>
  <c r="X93" i="6"/>
  <c r="F57" i="9"/>
  <c r="K57" i="9" s="1"/>
  <c r="L57" i="9" s="1"/>
  <c r="T15" i="6"/>
  <c r="F153" i="9"/>
  <c r="T111" i="6"/>
  <c r="K145" i="3"/>
  <c r="K177" i="3"/>
  <c r="K88" i="3"/>
  <c r="K136" i="3"/>
  <c r="K152" i="3"/>
  <c r="K168" i="3"/>
  <c r="J175" i="3"/>
  <c r="H217" i="9" s="1"/>
  <c r="K111" i="3"/>
  <c r="H21" i="2" s="1"/>
  <c r="F167" i="9"/>
  <c r="K167" i="9" s="1"/>
  <c r="L167" i="9" s="1"/>
  <c r="T125" i="6"/>
  <c r="K127" i="3"/>
  <c r="J134" i="3"/>
  <c r="H176" i="9" s="1"/>
  <c r="M176" i="9" s="1"/>
  <c r="F183" i="9"/>
  <c r="T141" i="6"/>
  <c r="O27" i="6"/>
  <c r="AC27" i="6" s="1"/>
  <c r="F142" i="9"/>
  <c r="K142" i="9" s="1"/>
  <c r="L142" i="9" s="1"/>
  <c r="T100" i="6"/>
  <c r="K102" i="3"/>
  <c r="L111" i="3"/>
  <c r="K118" i="3"/>
  <c r="H28" i="2" s="1"/>
  <c r="L15" i="6"/>
  <c r="M15" i="6" s="1"/>
  <c r="Y15" i="6" s="1"/>
  <c r="AA15" i="6" s="1"/>
  <c r="I15" i="6"/>
  <c r="H15" i="6"/>
  <c r="K19" i="2"/>
  <c r="K4" i="3"/>
  <c r="A14" i="2" s="1"/>
  <c r="J11" i="3"/>
  <c r="L13" i="3"/>
  <c r="K132" i="3"/>
  <c r="F204" i="9"/>
  <c r="K204" i="9" s="1"/>
  <c r="L204" i="9" s="1"/>
  <c r="T162" i="6"/>
  <c r="N28" i="6"/>
  <c r="X28" i="6" s="1"/>
  <c r="C21" i="2"/>
  <c r="F115" i="9"/>
  <c r="K115" i="9" s="1"/>
  <c r="L115" i="9" s="1"/>
  <c r="T73" i="6"/>
  <c r="F179" i="9"/>
  <c r="K179" i="9" s="1"/>
  <c r="L179" i="9" s="1"/>
  <c r="T137" i="6"/>
  <c r="L148" i="3"/>
  <c r="J162" i="3"/>
  <c r="H204" i="9" s="1"/>
  <c r="M204" i="9" s="1"/>
  <c r="L164" i="3"/>
  <c r="E8" i="6"/>
  <c r="L8" i="6" s="1"/>
  <c r="M8" i="6" s="1"/>
  <c r="Y8" i="6" s="1"/>
  <c r="AA8" i="6" s="1"/>
  <c r="E33" i="6"/>
  <c r="F72" i="9"/>
  <c r="K72" i="9" s="1"/>
  <c r="L72" i="9" s="1"/>
  <c r="M72" i="9" s="1"/>
  <c r="T30" i="6"/>
  <c r="K32" i="3"/>
  <c r="L41" i="3"/>
  <c r="J14" i="3"/>
  <c r="L16" i="3"/>
  <c r="F54" i="9"/>
  <c r="K54" i="9" s="1"/>
  <c r="L54" i="9" s="1"/>
  <c r="T12" i="6"/>
  <c r="K14" i="3"/>
  <c r="A24" i="2" s="1"/>
  <c r="L23" i="3"/>
  <c r="K30" i="3"/>
  <c r="J37" i="3"/>
  <c r="H79" i="9" s="1"/>
  <c r="M79" i="9" s="1"/>
  <c r="L39" i="3"/>
  <c r="K46" i="3"/>
  <c r="J53" i="3"/>
  <c r="H95" i="9" s="1"/>
  <c r="L55" i="3"/>
  <c r="F102" i="9"/>
  <c r="K102" i="9" s="1"/>
  <c r="L102" i="9" s="1"/>
  <c r="T60" i="6"/>
  <c r="K62" i="3"/>
  <c r="J69" i="3"/>
  <c r="H111" i="9" s="1"/>
  <c r="L71" i="3"/>
  <c r="F118" i="9"/>
  <c r="K118" i="9" s="1"/>
  <c r="L118" i="9" s="1"/>
  <c r="T76" i="6"/>
  <c r="K78" i="3"/>
  <c r="J85" i="3"/>
  <c r="H127" i="9" s="1"/>
  <c r="L87" i="3"/>
  <c r="F134" i="9"/>
  <c r="K134" i="9" s="1"/>
  <c r="L134" i="9" s="1"/>
  <c r="T92" i="6"/>
  <c r="K94" i="3"/>
  <c r="J101" i="3"/>
  <c r="H143" i="9" s="1"/>
  <c r="L103" i="3"/>
  <c r="F150" i="9"/>
  <c r="K150" i="9" s="1"/>
  <c r="L150" i="9" s="1"/>
  <c r="T108" i="6"/>
  <c r="K110" i="3"/>
  <c r="H20" i="2" s="1"/>
  <c r="J117" i="3"/>
  <c r="L119" i="3"/>
  <c r="F166" i="9"/>
  <c r="K166" i="9" s="1"/>
  <c r="L166" i="9" s="1"/>
  <c r="T124" i="6"/>
  <c r="K126" i="3"/>
  <c r="J133" i="3"/>
  <c r="H175" i="9" s="1"/>
  <c r="L135" i="3"/>
  <c r="F182" i="9"/>
  <c r="K182" i="9" s="1"/>
  <c r="L182" i="9" s="1"/>
  <c r="T140" i="6"/>
  <c r="K142" i="3"/>
  <c r="J149" i="3"/>
  <c r="H191" i="9" s="1"/>
  <c r="L151" i="3"/>
  <c r="F198" i="9"/>
  <c r="K198" i="9" s="1"/>
  <c r="L198" i="9" s="1"/>
  <c r="T156" i="6"/>
  <c r="K158" i="3"/>
  <c r="J165" i="3"/>
  <c r="H207" i="9" s="1"/>
  <c r="L167" i="3"/>
  <c r="F214" i="9"/>
  <c r="K214" i="9" s="1"/>
  <c r="L214" i="9" s="1"/>
  <c r="T172" i="6"/>
  <c r="K174" i="3"/>
  <c r="J181" i="3"/>
  <c r="H223" i="9" s="1"/>
  <c r="L183" i="3"/>
  <c r="F230" i="9"/>
  <c r="K230" i="9" s="1"/>
  <c r="L230" i="9" s="1"/>
  <c r="T188" i="6"/>
  <c r="K190" i="3"/>
  <c r="K200" i="3"/>
  <c r="X5" i="6"/>
  <c r="V7" i="6"/>
  <c r="X8" i="6"/>
  <c r="V9" i="6"/>
  <c r="O20" i="6"/>
  <c r="AC20" i="6" s="1"/>
  <c r="V27" i="6"/>
  <c r="AB27" i="6" s="1"/>
  <c r="V32" i="6"/>
  <c r="AB32" i="6" s="1"/>
  <c r="T33" i="6"/>
  <c r="V35" i="6"/>
  <c r="AB35" i="6" s="1"/>
  <c r="K42" i="6"/>
  <c r="W42" i="6" s="1"/>
  <c r="AB42" i="6" s="1"/>
  <c r="C49" i="6"/>
  <c r="J49" i="6" s="1"/>
  <c r="E49" i="6"/>
  <c r="O52" i="6"/>
  <c r="AC52" i="6" s="1"/>
  <c r="X66" i="6"/>
  <c r="F185" i="9"/>
  <c r="K185" i="9" s="1"/>
  <c r="L185" i="9" s="1"/>
  <c r="T143" i="6"/>
  <c r="L16" i="6"/>
  <c r="M16" i="6" s="1"/>
  <c r="Y16" i="6" s="1"/>
  <c r="AA16" i="6" s="1"/>
  <c r="I16" i="6"/>
  <c r="H16" i="6"/>
  <c r="I36" i="6"/>
  <c r="K36" i="6" s="1"/>
  <c r="L36" i="6"/>
  <c r="M36" i="6" s="1"/>
  <c r="H36" i="6"/>
  <c r="C16" i="6"/>
  <c r="J16" i="6" s="1"/>
  <c r="F126" i="9"/>
  <c r="K126" i="9" s="1"/>
  <c r="L126" i="9" s="1"/>
  <c r="T84" i="6"/>
  <c r="K86" i="3"/>
  <c r="J93" i="3"/>
  <c r="H135" i="9" s="1"/>
  <c r="J19" i="2"/>
  <c r="L6" i="3"/>
  <c r="F181" i="9"/>
  <c r="K181" i="9" s="1"/>
  <c r="L181" i="9" s="1"/>
  <c r="T139" i="6"/>
  <c r="K141" i="3"/>
  <c r="J148" i="3"/>
  <c r="H190" i="9" s="1"/>
  <c r="M190" i="9" s="1"/>
  <c r="L150" i="3"/>
  <c r="F197" i="9"/>
  <c r="K197" i="9" s="1"/>
  <c r="L197" i="9" s="1"/>
  <c r="T155" i="6"/>
  <c r="M206" i="9"/>
  <c r="L166" i="3"/>
  <c r="F229" i="9"/>
  <c r="K229" i="9" s="1"/>
  <c r="L229" i="9" s="1"/>
  <c r="M229" i="9" s="1"/>
  <c r="T187" i="6"/>
  <c r="K189" i="3"/>
  <c r="F244" i="9"/>
  <c r="K244" i="9" s="1"/>
  <c r="L244" i="9" s="1"/>
  <c r="T202" i="6"/>
  <c r="F220" i="9"/>
  <c r="K220" i="9" s="1"/>
  <c r="L220" i="9" s="1"/>
  <c r="T178" i="6"/>
  <c r="K180" i="3"/>
  <c r="F147" i="9"/>
  <c r="K147" i="9" s="1"/>
  <c r="L147" i="9" s="1"/>
  <c r="T105" i="6"/>
  <c r="K107" i="3"/>
  <c r="H17" i="2" s="1"/>
  <c r="F195" i="9"/>
  <c r="K195" i="9" s="1"/>
  <c r="L195" i="9" s="1"/>
  <c r="T153" i="6"/>
  <c r="K155" i="3"/>
  <c r="L7" i="6"/>
  <c r="M7" i="6" s="1"/>
  <c r="I7" i="6"/>
  <c r="H7" i="6"/>
  <c r="X17" i="6"/>
  <c r="V22" i="6"/>
  <c r="W26" i="6"/>
  <c r="K35" i="6"/>
  <c r="W35" i="6" s="1"/>
  <c r="K26" i="2"/>
  <c r="M49" i="9"/>
  <c r="L9" i="3"/>
  <c r="F63" i="9"/>
  <c r="K63" i="9" s="1"/>
  <c r="L63" i="9" s="1"/>
  <c r="T21" i="6"/>
  <c r="D16" i="2"/>
  <c r="D20" i="2"/>
  <c r="D24" i="2"/>
  <c r="D28" i="2"/>
  <c r="J5" i="3"/>
  <c r="J17" i="2"/>
  <c r="E20" i="2"/>
  <c r="J29" i="2"/>
  <c r="J33" i="2"/>
  <c r="K5" i="3"/>
  <c r="A15" i="2" s="1"/>
  <c r="M54" i="9"/>
  <c r="L14" i="3"/>
  <c r="F61" i="9"/>
  <c r="T19" i="6"/>
  <c r="K21" i="3"/>
  <c r="A31" i="2" s="1"/>
  <c r="J28" i="3"/>
  <c r="H70" i="9" s="1"/>
  <c r="M70" i="9" s="1"/>
  <c r="L30" i="3"/>
  <c r="F77" i="9"/>
  <c r="T35" i="6"/>
  <c r="K37" i="3"/>
  <c r="J44" i="3"/>
  <c r="H86" i="9" s="1"/>
  <c r="M86" i="9" s="1"/>
  <c r="L46" i="3"/>
  <c r="K93" i="9"/>
  <c r="L93" i="9" s="1"/>
  <c r="M93" i="9" s="1"/>
  <c r="K53" i="3"/>
  <c r="J60" i="3"/>
  <c r="H102" i="9" s="1"/>
  <c r="M102" i="9" s="1"/>
  <c r="L62" i="3"/>
  <c r="F109" i="9"/>
  <c r="K109" i="9" s="1"/>
  <c r="L109" i="9" s="1"/>
  <c r="M109" i="9" s="1"/>
  <c r="T67" i="6"/>
  <c r="K69" i="3"/>
  <c r="J76" i="3"/>
  <c r="H118" i="9" s="1"/>
  <c r="L78" i="3"/>
  <c r="F125" i="9"/>
  <c r="T83" i="6"/>
  <c r="K85" i="3"/>
  <c r="J92" i="3"/>
  <c r="H134" i="9" s="1"/>
  <c r="L94" i="3"/>
  <c r="F141" i="9"/>
  <c r="T99" i="6"/>
  <c r="K101" i="3"/>
  <c r="J108" i="3"/>
  <c r="L110" i="3"/>
  <c r="F157" i="9"/>
  <c r="K157" i="9" s="1"/>
  <c r="L157" i="9" s="1"/>
  <c r="M157" i="9" s="1"/>
  <c r="T115" i="6"/>
  <c r="K117" i="3"/>
  <c r="H27" i="2" s="1"/>
  <c r="J124" i="3"/>
  <c r="H166" i="9" s="1"/>
  <c r="M166" i="9" s="1"/>
  <c r="L126" i="3"/>
  <c r="F173" i="9"/>
  <c r="T131" i="6"/>
  <c r="K133" i="3"/>
  <c r="J140" i="3"/>
  <c r="H182" i="9" s="1"/>
  <c r="M182" i="9" s="1"/>
  <c r="L142" i="3"/>
  <c r="F189" i="9"/>
  <c r="T147" i="6"/>
  <c r="K149" i="3"/>
  <c r="J156" i="3"/>
  <c r="H198" i="9" s="1"/>
  <c r="M198" i="9" s="1"/>
  <c r="L158" i="3"/>
  <c r="F205" i="9"/>
  <c r="K205" i="9" s="1"/>
  <c r="L205" i="9" s="1"/>
  <c r="T163" i="6"/>
  <c r="K165" i="3"/>
  <c r="J172" i="3"/>
  <c r="H214" i="9" s="1"/>
  <c r="M214" i="9" s="1"/>
  <c r="L174" i="3"/>
  <c r="F221" i="9"/>
  <c r="T179" i="6"/>
  <c r="K181" i="3"/>
  <c r="J188" i="3"/>
  <c r="H230" i="9" s="1"/>
  <c r="K195" i="3"/>
  <c r="L200" i="3"/>
  <c r="V6" i="6"/>
  <c r="T8" i="6"/>
  <c r="X15" i="6"/>
  <c r="W27" i="6"/>
  <c r="X34" i="6"/>
  <c r="C41" i="6"/>
  <c r="J41" i="6" s="1"/>
  <c r="F41" i="6"/>
  <c r="G41" i="6" s="1"/>
  <c r="N41" i="6" s="1"/>
  <c r="X41" i="6" s="1"/>
  <c r="D41" i="6"/>
  <c r="K41" i="6" s="1"/>
  <c r="W41" i="6" s="1"/>
  <c r="Y45" i="6"/>
  <c r="AA45" i="6" s="1"/>
  <c r="L49" i="6"/>
  <c r="M49" i="6" s="1"/>
  <c r="Y49" i="6" s="1"/>
  <c r="AA49" i="6" s="1"/>
  <c r="I49" i="6"/>
  <c r="H49" i="6"/>
  <c r="N51" i="6"/>
  <c r="T65" i="6"/>
  <c r="V73" i="6"/>
  <c r="K74" i="6"/>
  <c r="W74" i="6" s="1"/>
  <c r="AA90" i="6"/>
  <c r="F89" i="9"/>
  <c r="K89" i="9" s="1"/>
  <c r="L89" i="9" s="1"/>
  <c r="T47" i="6"/>
  <c r="F64" i="9"/>
  <c r="K64" i="9" s="1"/>
  <c r="L64" i="9" s="1"/>
  <c r="T22" i="6"/>
  <c r="F80" i="9"/>
  <c r="T38" i="6"/>
  <c r="K72" i="3"/>
  <c r="K120" i="3"/>
  <c r="H30" i="2" s="1"/>
  <c r="J127" i="3"/>
  <c r="H169" i="9" s="1"/>
  <c r="F14" i="6"/>
  <c r="G14" i="6" s="1"/>
  <c r="N14" i="6" s="1"/>
  <c r="E14" i="6"/>
  <c r="L14" i="6" s="1"/>
  <c r="M14" i="6" s="1"/>
  <c r="Y14" i="6" s="1"/>
  <c r="AA14" i="6" s="1"/>
  <c r="D14" i="6"/>
  <c r="K14" i="6" s="1"/>
  <c r="W14" i="6" s="1"/>
  <c r="C14" i="6"/>
  <c r="J14" i="6" s="1"/>
  <c r="O14" i="6" s="1"/>
  <c r="AC14" i="6" s="1"/>
  <c r="J22" i="3"/>
  <c r="E46" i="6"/>
  <c r="F46" i="6"/>
  <c r="G46" i="6" s="1"/>
  <c r="N46" i="6" s="1"/>
  <c r="X46" i="6" s="1"/>
  <c r="D46" i="6"/>
  <c r="K46" i="6" s="1"/>
  <c r="W46" i="6" s="1"/>
  <c r="C46" i="6"/>
  <c r="J46" i="6" s="1"/>
  <c r="V46" i="6" s="1"/>
  <c r="F46" i="9"/>
  <c r="K46" i="9" s="1"/>
  <c r="L46" i="9" s="1"/>
  <c r="C25" i="7"/>
  <c r="T4" i="6"/>
  <c r="L15" i="3"/>
  <c r="F62" i="9"/>
  <c r="K62" i="9" s="1"/>
  <c r="L62" i="9" s="1"/>
  <c r="T20" i="6"/>
  <c r="K22" i="3"/>
  <c r="A32" i="2" s="1"/>
  <c r="J29" i="3"/>
  <c r="H71" i="9" s="1"/>
  <c r="J45" i="3"/>
  <c r="H87" i="9" s="1"/>
  <c r="L47" i="3"/>
  <c r="J84" i="3"/>
  <c r="H126" i="9" s="1"/>
  <c r="M126" i="9" s="1"/>
  <c r="F213" i="9"/>
  <c r="K213" i="9" s="1"/>
  <c r="L213" i="9" s="1"/>
  <c r="T171" i="6"/>
  <c r="L182" i="3"/>
  <c r="I44" i="6"/>
  <c r="L44" i="6"/>
  <c r="M44" i="6" s="1"/>
  <c r="Y44" i="6" s="1"/>
  <c r="AA44" i="6" s="1"/>
  <c r="J44" i="6"/>
  <c r="H44" i="6"/>
  <c r="K44" i="6" s="1"/>
  <c r="W44" i="6" s="1"/>
  <c r="F156" i="9"/>
  <c r="K156" i="9" s="1"/>
  <c r="L156" i="9" s="1"/>
  <c r="T114" i="6"/>
  <c r="K116" i="3"/>
  <c r="H26" i="2" s="1"/>
  <c r="J123" i="3"/>
  <c r="L125" i="3"/>
  <c r="F172" i="9"/>
  <c r="K172" i="9" s="1"/>
  <c r="L172" i="9" s="1"/>
  <c r="T130" i="6"/>
  <c r="J139" i="3"/>
  <c r="H181" i="9" s="1"/>
  <c r="L141" i="3"/>
  <c r="F188" i="9"/>
  <c r="K188" i="9" s="1"/>
  <c r="L188" i="9" s="1"/>
  <c r="M188" i="9" s="1"/>
  <c r="T146" i="6"/>
  <c r="J155" i="3"/>
  <c r="H197" i="9" s="1"/>
  <c r="M197" i="9" s="1"/>
  <c r="J171" i="3"/>
  <c r="H213" i="9" s="1"/>
  <c r="M213" i="9" s="1"/>
  <c r="L189" i="3"/>
  <c r="D8" i="6"/>
  <c r="K8" i="6" s="1"/>
  <c r="F99" i="9"/>
  <c r="K99" i="9" s="1"/>
  <c r="L99" i="9" s="1"/>
  <c r="T57" i="6"/>
  <c r="K59" i="3"/>
  <c r="K17" i="2"/>
  <c r="K21" i="2"/>
  <c r="K33" i="2"/>
  <c r="K12" i="3"/>
  <c r="A22" i="2" s="1"/>
  <c r="F68" i="9"/>
  <c r="K68" i="9" s="1"/>
  <c r="L68" i="9" s="1"/>
  <c r="T26" i="6"/>
  <c r="K28" i="3"/>
  <c r="F84" i="9"/>
  <c r="T42" i="6"/>
  <c r="K44" i="3"/>
  <c r="F100" i="9"/>
  <c r="T58" i="6"/>
  <c r="K60" i="3"/>
  <c r="F116" i="9"/>
  <c r="T74" i="6"/>
  <c r="K76" i="3"/>
  <c r="F132" i="9"/>
  <c r="K132" i="9" s="1"/>
  <c r="L132" i="9" s="1"/>
  <c r="M132" i="9" s="1"/>
  <c r="T90" i="6"/>
  <c r="K92" i="3"/>
  <c r="F148" i="9"/>
  <c r="T106" i="6"/>
  <c r="K108" i="3"/>
  <c r="H18" i="2" s="1"/>
  <c r="F164" i="9"/>
  <c r="T122" i="6"/>
  <c r="K124" i="3"/>
  <c r="F180" i="9"/>
  <c r="T138" i="6"/>
  <c r="K140" i="3"/>
  <c r="F196" i="9"/>
  <c r="K196" i="9" s="1"/>
  <c r="L196" i="9" s="1"/>
  <c r="M196" i="9" s="1"/>
  <c r="T154" i="6"/>
  <c r="K156" i="3"/>
  <c r="M205" i="9"/>
  <c r="F212" i="9"/>
  <c r="T170" i="6"/>
  <c r="K172" i="3"/>
  <c r="F228" i="9"/>
  <c r="T186" i="6"/>
  <c r="K188" i="3"/>
  <c r="F235" i="9"/>
  <c r="K235" i="9" s="1"/>
  <c r="L235" i="9" s="1"/>
  <c r="T193" i="6"/>
  <c r="F240" i="9"/>
  <c r="K240" i="9" s="1"/>
  <c r="L240" i="9" s="1"/>
  <c r="M240" i="9" s="1"/>
  <c r="T198" i="6"/>
  <c r="AB4" i="6"/>
  <c r="W6" i="6"/>
  <c r="Y7" i="6"/>
  <c r="AA7" i="6" s="1"/>
  <c r="O12" i="6"/>
  <c r="AC12" i="6" s="1"/>
  <c r="X14" i="6"/>
  <c r="L17" i="6"/>
  <c r="M17" i="6" s="1"/>
  <c r="Y17" i="6" s="1"/>
  <c r="AA17" i="6" s="1"/>
  <c r="I17" i="6"/>
  <c r="H17" i="6"/>
  <c r="V19" i="6"/>
  <c r="I23" i="6"/>
  <c r="L23" i="6"/>
  <c r="M23" i="6" s="1"/>
  <c r="Y27" i="6"/>
  <c r="AA27" i="6" s="1"/>
  <c r="Y35" i="6"/>
  <c r="AA35" i="6" s="1"/>
  <c r="L41" i="6"/>
  <c r="M41" i="6" s="1"/>
  <c r="Y41" i="6" s="1"/>
  <c r="AA41" i="6" s="1"/>
  <c r="I41" i="6"/>
  <c r="H41" i="6"/>
  <c r="O42" i="6"/>
  <c r="AC42" i="6" s="1"/>
  <c r="T44" i="6"/>
  <c r="K49" i="6"/>
  <c r="W49" i="6" s="1"/>
  <c r="V51" i="6"/>
  <c r="AB51" i="6" s="1"/>
  <c r="I56" i="6"/>
  <c r="L56" i="6"/>
  <c r="M56" i="6" s="1"/>
  <c r="H56" i="6"/>
  <c r="O90" i="6"/>
  <c r="AC90" i="6" s="1"/>
  <c r="F73" i="9"/>
  <c r="K73" i="9" s="1"/>
  <c r="L73" i="9" s="1"/>
  <c r="T31" i="6"/>
  <c r="K81" i="3"/>
  <c r="V63" i="6"/>
  <c r="F112" i="9"/>
  <c r="K112" i="9" s="1"/>
  <c r="L112" i="9" s="1"/>
  <c r="M112" i="9" s="1"/>
  <c r="T70" i="6"/>
  <c r="J79" i="3"/>
  <c r="H121" i="9" s="1"/>
  <c r="F208" i="9"/>
  <c r="K208" i="9" s="1"/>
  <c r="L208" i="9" s="1"/>
  <c r="M208" i="9" s="1"/>
  <c r="T166" i="6"/>
  <c r="AB79" i="6"/>
  <c r="C14" i="2"/>
  <c r="K15" i="3"/>
  <c r="A25" i="2" s="1"/>
  <c r="F199" i="9"/>
  <c r="K199" i="9" s="1"/>
  <c r="L199" i="9" s="1"/>
  <c r="T157" i="6"/>
  <c r="L63" i="3"/>
  <c r="F110" i="9"/>
  <c r="T68" i="6"/>
  <c r="K70" i="3"/>
  <c r="J77" i="3"/>
  <c r="H119" i="9" s="1"/>
  <c r="J109" i="3"/>
  <c r="J68" i="3"/>
  <c r="H110" i="9" s="1"/>
  <c r="L70" i="3"/>
  <c r="F117" i="9"/>
  <c r="K117" i="9" s="1"/>
  <c r="L117" i="9" s="1"/>
  <c r="T75" i="6"/>
  <c r="K77" i="3"/>
  <c r="C8" i="6"/>
  <c r="J8" i="6" s="1"/>
  <c r="L33" i="6"/>
  <c r="M33" i="6" s="1"/>
  <c r="Y33" i="6" s="1"/>
  <c r="AA33" i="6" s="1"/>
  <c r="I33" i="6"/>
  <c r="H33" i="6"/>
  <c r="K33" i="6" s="1"/>
  <c r="W33" i="6" s="1"/>
  <c r="O71" i="6"/>
  <c r="AC71" i="6" s="1"/>
  <c r="K36" i="3"/>
  <c r="L45" i="3"/>
  <c r="K148" i="3"/>
  <c r="L157" i="3"/>
  <c r="C15" i="6"/>
  <c r="J15" i="6" s="1"/>
  <c r="K71" i="6"/>
  <c r="J18" i="3"/>
  <c r="K27" i="3"/>
  <c r="L36" i="3"/>
  <c r="C19" i="2"/>
  <c r="K19" i="3"/>
  <c r="A29" i="2" s="1"/>
  <c r="M68" i="9"/>
  <c r="K35" i="3"/>
  <c r="K51" i="3"/>
  <c r="K67" i="3"/>
  <c r="F123" i="9"/>
  <c r="T81" i="6"/>
  <c r="K83" i="3"/>
  <c r="F139" i="9"/>
  <c r="K139" i="9" s="1"/>
  <c r="L139" i="9" s="1"/>
  <c r="T97" i="6"/>
  <c r="K99" i="3"/>
  <c r="F155" i="9"/>
  <c r="K155" i="9" s="1"/>
  <c r="L155" i="9" s="1"/>
  <c r="M155" i="9" s="1"/>
  <c r="T113" i="6"/>
  <c r="K115" i="3"/>
  <c r="H25" i="2" s="1"/>
  <c r="F171" i="9"/>
  <c r="T129" i="6"/>
  <c r="K131" i="3"/>
  <c r="F187" i="9"/>
  <c r="T145" i="6"/>
  <c r="K147" i="3"/>
  <c r="F203" i="9"/>
  <c r="K203" i="9" s="1"/>
  <c r="L203" i="9" s="1"/>
  <c r="T161" i="6"/>
  <c r="K163" i="3"/>
  <c r="F219" i="9"/>
  <c r="K219" i="9" s="1"/>
  <c r="L219" i="9" s="1"/>
  <c r="M219" i="9" s="1"/>
  <c r="T177" i="6"/>
  <c r="M235" i="9"/>
  <c r="D13" i="5"/>
  <c r="E13" i="5" s="1"/>
  <c r="X7" i="6"/>
  <c r="K18" i="6"/>
  <c r="W18" i="6" s="1"/>
  <c r="V43" i="6"/>
  <c r="F49" i="6"/>
  <c r="G49" i="6" s="1"/>
  <c r="N49" i="6" s="1"/>
  <c r="X49" i="6" s="1"/>
  <c r="W51" i="6"/>
  <c r="V53" i="6"/>
  <c r="AB53" i="6" s="1"/>
  <c r="T54" i="6"/>
  <c r="J56" i="6"/>
  <c r="V65" i="6"/>
  <c r="O99" i="6"/>
  <c r="AC99" i="6" s="1"/>
  <c r="V99" i="6"/>
  <c r="F137" i="9"/>
  <c r="T95" i="6"/>
  <c r="F233" i="9"/>
  <c r="K233" i="9" s="1"/>
  <c r="L233" i="9" s="1"/>
  <c r="T191" i="6"/>
  <c r="K40" i="3"/>
  <c r="J47" i="3"/>
  <c r="H89" i="9" s="1"/>
  <c r="F192" i="9"/>
  <c r="K192" i="9" s="1"/>
  <c r="L192" i="9" s="1"/>
  <c r="T150" i="6"/>
  <c r="J159" i="3"/>
  <c r="H201" i="9" s="1"/>
  <c r="K184" i="3"/>
  <c r="J191" i="3"/>
  <c r="H233" i="9" s="1"/>
  <c r="F62" i="6"/>
  <c r="G62" i="6" s="1"/>
  <c r="N62" i="6" s="1"/>
  <c r="X62" i="6" s="1"/>
  <c r="E62" i="6"/>
  <c r="D62" i="6"/>
  <c r="K62" i="6" s="1"/>
  <c r="W62" i="6" s="1"/>
  <c r="F215" i="9"/>
  <c r="K215" i="9" s="1"/>
  <c r="L215" i="9" s="1"/>
  <c r="T173" i="6"/>
  <c r="J182" i="3"/>
  <c r="H224" i="9" s="1"/>
  <c r="M224" i="9" s="1"/>
  <c r="J98" i="6"/>
  <c r="I98" i="6"/>
  <c r="H98" i="6"/>
  <c r="L98" i="6"/>
  <c r="M98" i="6" s="1"/>
  <c r="Y98" i="6" s="1"/>
  <c r="AA98" i="6" s="1"/>
  <c r="F53" i="9"/>
  <c r="K53" i="9" s="1"/>
  <c r="L53" i="9" s="1"/>
  <c r="T11" i="6"/>
  <c r="K13" i="3"/>
  <c r="A23" i="2" s="1"/>
  <c r="J20" i="3"/>
  <c r="L22" i="3"/>
  <c r="K45" i="3"/>
  <c r="E16" i="6"/>
  <c r="F92" i="9"/>
  <c r="T50" i="6"/>
  <c r="K52" i="3"/>
  <c r="J59" i="3"/>
  <c r="H101" i="9" s="1"/>
  <c r="M101" i="9" s="1"/>
  <c r="L61" i="3"/>
  <c r="F108" i="9"/>
  <c r="T66" i="6"/>
  <c r="K68" i="3"/>
  <c r="J75" i="3"/>
  <c r="H117" i="9" s="1"/>
  <c r="L77" i="3"/>
  <c r="F124" i="9"/>
  <c r="K124" i="9" s="1"/>
  <c r="L124" i="9" s="1"/>
  <c r="T82" i="6"/>
  <c r="K84" i="3"/>
  <c r="J91" i="3"/>
  <c r="H133" i="9" s="1"/>
  <c r="D23" i="2"/>
  <c r="K50" i="9"/>
  <c r="L50" i="9" s="1"/>
  <c r="M50" i="9" s="1"/>
  <c r="K10" i="3"/>
  <c r="A20" i="2" s="1"/>
  <c r="F66" i="9"/>
  <c r="K66" i="9" s="1"/>
  <c r="L66" i="9" s="1"/>
  <c r="M66" i="9" s="1"/>
  <c r="T24" i="6"/>
  <c r="K26" i="3"/>
  <c r="F82" i="9"/>
  <c r="T40" i="6"/>
  <c r="K42" i="3"/>
  <c r="K58" i="3"/>
  <c r="K74" i="3"/>
  <c r="F130" i="9"/>
  <c r="T88" i="6"/>
  <c r="K90" i="3"/>
  <c r="M139" i="9"/>
  <c r="F146" i="9"/>
  <c r="K199" i="3"/>
  <c r="K192" i="3"/>
  <c r="K203" i="3"/>
  <c r="T104" i="6"/>
  <c r="K106" i="3"/>
  <c r="H16" i="2" s="1"/>
  <c r="F162" i="9"/>
  <c r="T120" i="6"/>
  <c r="K122" i="3"/>
  <c r="H32" i="2" s="1"/>
  <c r="F178" i="9"/>
  <c r="T136" i="6"/>
  <c r="K138" i="3"/>
  <c r="F194" i="9"/>
  <c r="T152" i="6"/>
  <c r="K154" i="3"/>
  <c r="M203" i="9"/>
  <c r="F210" i="9"/>
  <c r="K210" i="9" s="1"/>
  <c r="L210" i="9" s="1"/>
  <c r="M210" i="9" s="1"/>
  <c r="T168" i="6"/>
  <c r="K170" i="3"/>
  <c r="F226" i="9"/>
  <c r="T184" i="6"/>
  <c r="K186" i="3"/>
  <c r="K193" i="3"/>
  <c r="K198" i="3"/>
  <c r="D14" i="5"/>
  <c r="E14" i="5" s="1"/>
  <c r="O4" i="6"/>
  <c r="AC4" i="6" s="1"/>
  <c r="X6" i="6"/>
  <c r="L9" i="6"/>
  <c r="M9" i="6" s="1"/>
  <c r="Y9" i="6" s="1"/>
  <c r="AA9" i="6" s="1"/>
  <c r="I9" i="6"/>
  <c r="H9" i="6"/>
  <c r="K9" i="6" s="1"/>
  <c r="O10" i="6"/>
  <c r="AC10" i="6" s="1"/>
  <c r="AB11" i="6"/>
  <c r="K17" i="6"/>
  <c r="O17" i="6" s="1"/>
  <c r="AC17" i="6" s="1"/>
  <c r="L19" i="6"/>
  <c r="M19" i="6" s="1"/>
  <c r="Y19" i="6" s="1"/>
  <c r="AA19" i="6" s="1"/>
  <c r="F22" i="6"/>
  <c r="G22" i="6" s="1"/>
  <c r="N22" i="6" s="1"/>
  <c r="E22" i="6"/>
  <c r="L22" i="6" s="1"/>
  <c r="M22" i="6" s="1"/>
  <c r="D22" i="6"/>
  <c r="K22" i="6" s="1"/>
  <c r="C22" i="6"/>
  <c r="J22" i="6" s="1"/>
  <c r="K23" i="6"/>
  <c r="O23" i="6" s="1"/>
  <c r="AC23" i="6" s="1"/>
  <c r="I31" i="6"/>
  <c r="K31" i="6" s="1"/>
  <c r="L31" i="6"/>
  <c r="M31" i="6" s="1"/>
  <c r="K39" i="6"/>
  <c r="O39" i="6" s="1"/>
  <c r="AC39" i="6" s="1"/>
  <c r="W50" i="6"/>
  <c r="Y51" i="6"/>
  <c r="AA51" i="6" s="1"/>
  <c r="W53" i="6"/>
  <c r="X70" i="6"/>
  <c r="X88" i="6"/>
  <c r="D96" i="6"/>
  <c r="F96" i="6"/>
  <c r="G96" i="6" s="1"/>
  <c r="N96" i="6" s="1"/>
  <c r="E96" i="6"/>
  <c r="C96" i="6"/>
  <c r="J96" i="6" s="1"/>
  <c r="F129" i="6"/>
  <c r="G129" i="6" s="1"/>
  <c r="N129" i="6" s="1"/>
  <c r="X129" i="6" s="1"/>
  <c r="E129" i="6"/>
  <c r="D129" i="6"/>
  <c r="C129" i="6"/>
  <c r="J129" i="6" s="1"/>
  <c r="K134" i="6"/>
  <c r="W134" i="6" s="1"/>
  <c r="F183" i="6"/>
  <c r="G183" i="6" s="1"/>
  <c r="N183" i="6" s="1"/>
  <c r="X183" i="6" s="1"/>
  <c r="E183" i="6"/>
  <c r="L183" i="6" s="1"/>
  <c r="M183" i="6" s="1"/>
  <c r="Y183" i="6" s="1"/>
  <c r="AA183" i="6" s="1"/>
  <c r="D183" i="6"/>
  <c r="K183" i="6" s="1"/>
  <c r="W183" i="6" s="1"/>
  <c r="C183" i="6"/>
  <c r="J183" i="6" s="1"/>
  <c r="Y60" i="6"/>
  <c r="AA60" i="6" s="1"/>
  <c r="K80" i="6"/>
  <c r="W80" i="6" s="1"/>
  <c r="O88" i="6"/>
  <c r="AC88" i="6" s="1"/>
  <c r="K95" i="6"/>
  <c r="W95" i="6" s="1"/>
  <c r="L96" i="6"/>
  <c r="M96" i="6" s="1"/>
  <c r="Y96" i="6" s="1"/>
  <c r="AA96" i="6" s="1"/>
  <c r="I96" i="6"/>
  <c r="H96" i="6"/>
  <c r="V100" i="6"/>
  <c r="AB100" i="6" s="1"/>
  <c r="J131" i="6"/>
  <c r="E149" i="6"/>
  <c r="L149" i="6" s="1"/>
  <c r="M149" i="6" s="1"/>
  <c r="Y149" i="6" s="1"/>
  <c r="AA149" i="6" s="1"/>
  <c r="D149" i="6"/>
  <c r="K149" i="6" s="1"/>
  <c r="C149" i="6"/>
  <c r="J149" i="6" s="1"/>
  <c r="F149" i="6"/>
  <c r="G149" i="6" s="1"/>
  <c r="N149" i="6" s="1"/>
  <c r="X149" i="6" s="1"/>
  <c r="O150" i="6"/>
  <c r="AC150" i="6" s="1"/>
  <c r="AB166" i="6"/>
  <c r="K98" i="6"/>
  <c r="W98" i="6" s="1"/>
  <c r="W100" i="6"/>
  <c r="H131" i="6"/>
  <c r="I131" i="6"/>
  <c r="F187" i="6"/>
  <c r="G187" i="6" s="1"/>
  <c r="N187" i="6" s="1"/>
  <c r="E187" i="6"/>
  <c r="L187" i="6" s="1"/>
  <c r="M187" i="6" s="1"/>
  <c r="D187" i="6"/>
  <c r="K56" i="6"/>
  <c r="W56" i="6" s="1"/>
  <c r="E85" i="6"/>
  <c r="L85" i="6" s="1"/>
  <c r="M85" i="6" s="1"/>
  <c r="Y85" i="6" s="1"/>
  <c r="AA85" i="6" s="1"/>
  <c r="D85" i="6"/>
  <c r="K85" i="6" s="1"/>
  <c r="W85" i="6" s="1"/>
  <c r="F85" i="6"/>
  <c r="G85" i="6" s="1"/>
  <c r="N85" i="6" s="1"/>
  <c r="X85" i="6" s="1"/>
  <c r="C85" i="6"/>
  <c r="J85" i="6" s="1"/>
  <c r="F87" i="6"/>
  <c r="G87" i="6" s="1"/>
  <c r="N87" i="6" s="1"/>
  <c r="X87" i="6" s="1"/>
  <c r="E87" i="6"/>
  <c r="D87" i="6"/>
  <c r="C87" i="6"/>
  <c r="J87" i="6" s="1"/>
  <c r="F89" i="6"/>
  <c r="G89" i="6" s="1"/>
  <c r="N89" i="6" s="1"/>
  <c r="E89" i="6"/>
  <c r="D89" i="6"/>
  <c r="I113" i="6"/>
  <c r="H113" i="6"/>
  <c r="K131" i="6"/>
  <c r="W131" i="6" s="1"/>
  <c r="V137" i="6"/>
  <c r="X176" i="6"/>
  <c r="H187" i="6"/>
  <c r="I187" i="6"/>
  <c r="C81" i="6"/>
  <c r="J81" i="6" s="1"/>
  <c r="F81" i="6"/>
  <c r="G81" i="6" s="1"/>
  <c r="N81" i="6" s="1"/>
  <c r="X81" i="6" s="1"/>
  <c r="L82" i="6"/>
  <c r="M82" i="6" s="1"/>
  <c r="I82" i="6"/>
  <c r="I85" i="6"/>
  <c r="H85" i="6"/>
  <c r="I87" i="6"/>
  <c r="H87" i="6"/>
  <c r="L87" i="6"/>
  <c r="M87" i="6" s="1"/>
  <c r="Y87" i="6" s="1"/>
  <c r="AA87" i="6" s="1"/>
  <c r="L89" i="6"/>
  <c r="M89" i="6" s="1"/>
  <c r="Y89" i="6" s="1"/>
  <c r="AA89" i="6" s="1"/>
  <c r="I89" i="6"/>
  <c r="Y91" i="6"/>
  <c r="AA91" i="6" s="1"/>
  <c r="V93" i="6"/>
  <c r="F94" i="6"/>
  <c r="G94" i="6" s="1"/>
  <c r="N94" i="6" s="1"/>
  <c r="X94" i="6" s="1"/>
  <c r="D94" i="6"/>
  <c r="E94" i="6"/>
  <c r="C94" i="6"/>
  <c r="J94" i="6" s="1"/>
  <c r="L128" i="6"/>
  <c r="M128" i="6" s="1"/>
  <c r="Y128" i="6" s="1"/>
  <c r="AA128" i="6" s="1"/>
  <c r="I128" i="6"/>
  <c r="H128" i="6"/>
  <c r="K128" i="6" s="1"/>
  <c r="W128" i="6" s="1"/>
  <c r="Y134" i="6"/>
  <c r="AA134" i="6" s="1"/>
  <c r="V203" i="6"/>
  <c r="X63" i="6"/>
  <c r="K65" i="6"/>
  <c r="W65" i="6" s="1"/>
  <c r="Y79" i="6"/>
  <c r="AA79" i="6" s="1"/>
  <c r="I81" i="6"/>
  <c r="H81" i="6"/>
  <c r="J82" i="6"/>
  <c r="J89" i="6"/>
  <c r="I94" i="6"/>
  <c r="L94" i="6"/>
  <c r="M94" i="6" s="1"/>
  <c r="Y94" i="6" s="1"/>
  <c r="AA94" i="6" s="1"/>
  <c r="H94" i="6"/>
  <c r="E108" i="6"/>
  <c r="L108" i="6" s="1"/>
  <c r="M108" i="6" s="1"/>
  <c r="Y108" i="6" s="1"/>
  <c r="AA108" i="6" s="1"/>
  <c r="C108" i="6"/>
  <c r="J108" i="6" s="1"/>
  <c r="D113" i="6"/>
  <c r="V123" i="6"/>
  <c r="AB123" i="6" s="1"/>
  <c r="O123" i="6"/>
  <c r="AC123" i="6" s="1"/>
  <c r="D136" i="6"/>
  <c r="C136" i="6"/>
  <c r="J136" i="6" s="1"/>
  <c r="F136" i="6"/>
  <c r="G136" i="6" s="1"/>
  <c r="N136" i="6" s="1"/>
  <c r="X136" i="6" s="1"/>
  <c r="E136" i="6"/>
  <c r="L136" i="6" s="1"/>
  <c r="M136" i="6" s="1"/>
  <c r="V168" i="6"/>
  <c r="O170" i="6"/>
  <c r="AC170" i="6" s="1"/>
  <c r="Y40" i="6"/>
  <c r="AA40" i="6" s="1"/>
  <c r="D81" i="6"/>
  <c r="D82" i="6"/>
  <c r="O84" i="6"/>
  <c r="AC84" i="6" s="1"/>
  <c r="H89" i="6"/>
  <c r="Y102" i="6"/>
  <c r="AA102" i="6" s="1"/>
  <c r="E113" i="6"/>
  <c r="L113" i="6" s="1"/>
  <c r="M113" i="6" s="1"/>
  <c r="Y113" i="6" s="1"/>
  <c r="AA113" i="6" s="1"/>
  <c r="O114" i="6"/>
  <c r="AC114" i="6" s="1"/>
  <c r="O130" i="6"/>
  <c r="AC130" i="6" s="1"/>
  <c r="N131" i="6"/>
  <c r="X131" i="6" s="1"/>
  <c r="K153" i="6"/>
  <c r="W153" i="6" s="1"/>
  <c r="F245" i="9"/>
  <c r="K245" i="9" s="1"/>
  <c r="L245" i="9" s="1"/>
  <c r="M245" i="9" s="1"/>
  <c r="T203" i="6"/>
  <c r="Y32" i="6"/>
  <c r="AA32" i="6" s="1"/>
  <c r="C38" i="6"/>
  <c r="J38" i="6" s="1"/>
  <c r="V38" i="6" s="1"/>
  <c r="I54" i="6"/>
  <c r="X55" i="6"/>
  <c r="I62" i="6"/>
  <c r="F65" i="6"/>
  <c r="G65" i="6" s="1"/>
  <c r="N65" i="6" s="1"/>
  <c r="X65" i="6" s="1"/>
  <c r="E69" i="6"/>
  <c r="L69" i="6" s="1"/>
  <c r="M69" i="6" s="1"/>
  <c r="Y69" i="6" s="1"/>
  <c r="AA69" i="6" s="1"/>
  <c r="D69" i="6"/>
  <c r="C69" i="6"/>
  <c r="J69" i="6" s="1"/>
  <c r="Y77" i="6"/>
  <c r="AA77" i="6" s="1"/>
  <c r="E81" i="6"/>
  <c r="L81" i="6" s="1"/>
  <c r="M81" i="6" s="1"/>
  <c r="Y81" i="6" s="1"/>
  <c r="AA81" i="6" s="1"/>
  <c r="F82" i="6"/>
  <c r="G82" i="6" s="1"/>
  <c r="N82" i="6" s="1"/>
  <c r="X82" i="6" s="1"/>
  <c r="L83" i="6"/>
  <c r="M83" i="6" s="1"/>
  <c r="Y83" i="6" s="1"/>
  <c r="AA83" i="6" s="1"/>
  <c r="X102" i="6"/>
  <c r="Y105" i="6"/>
  <c r="AA105" i="6" s="1"/>
  <c r="D108" i="6"/>
  <c r="K108" i="6" s="1"/>
  <c r="W108" i="6" s="1"/>
  <c r="F121" i="6"/>
  <c r="G121" i="6" s="1"/>
  <c r="N121" i="6" s="1"/>
  <c r="X121" i="6" s="1"/>
  <c r="E121" i="6"/>
  <c r="N128" i="6"/>
  <c r="X128" i="6" s="1"/>
  <c r="L131" i="6"/>
  <c r="M131" i="6" s="1"/>
  <c r="Y131" i="6" s="1"/>
  <c r="AA131" i="6" s="1"/>
  <c r="X138" i="6"/>
  <c r="I174" i="6"/>
  <c r="H174" i="6"/>
  <c r="K174" i="6" s="1"/>
  <c r="W174" i="6" s="1"/>
  <c r="L174" i="6"/>
  <c r="M174" i="6" s="1"/>
  <c r="W175" i="6"/>
  <c r="H178" i="6"/>
  <c r="K178" i="6" s="1"/>
  <c r="W178" i="6" s="1"/>
  <c r="L178" i="6"/>
  <c r="M178" i="6" s="1"/>
  <c r="Y178" i="6" s="1"/>
  <c r="AA178" i="6" s="1"/>
  <c r="I178" i="6"/>
  <c r="O186" i="6"/>
  <c r="AC186" i="6" s="1"/>
  <c r="F236" i="9"/>
  <c r="K236" i="9" s="1"/>
  <c r="L236" i="9" s="1"/>
  <c r="T194" i="6"/>
  <c r="Y24" i="6"/>
  <c r="AA24" i="6" s="1"/>
  <c r="C30" i="6"/>
  <c r="J30" i="6" s="1"/>
  <c r="D38" i="6"/>
  <c r="H67" i="6"/>
  <c r="I69" i="6"/>
  <c r="H69" i="6"/>
  <c r="N72" i="6"/>
  <c r="X72" i="6" s="1"/>
  <c r="V94" i="6"/>
  <c r="V95" i="6"/>
  <c r="V97" i="6"/>
  <c r="X105" i="6"/>
  <c r="F108" i="6"/>
  <c r="G108" i="6" s="1"/>
  <c r="N108" i="6" s="1"/>
  <c r="X108" i="6" s="1"/>
  <c r="F111" i="6"/>
  <c r="G111" i="6" s="1"/>
  <c r="N111" i="6" s="1"/>
  <c r="E111" i="6"/>
  <c r="D111" i="6"/>
  <c r="C111" i="6"/>
  <c r="J111" i="6" s="1"/>
  <c r="I112" i="6"/>
  <c r="K112" i="6" s="1"/>
  <c r="W112" i="6" s="1"/>
  <c r="F142" i="6"/>
  <c r="G142" i="6" s="1"/>
  <c r="N142" i="6" s="1"/>
  <c r="E142" i="6"/>
  <c r="L142" i="6" s="1"/>
  <c r="M142" i="6" s="1"/>
  <c r="Y142" i="6" s="1"/>
  <c r="AA142" i="6" s="1"/>
  <c r="D142" i="6"/>
  <c r="K142" i="6" s="1"/>
  <c r="W142" i="6" s="1"/>
  <c r="C142" i="6"/>
  <c r="J142" i="6" s="1"/>
  <c r="O142" i="6" s="1"/>
  <c r="AC142" i="6" s="1"/>
  <c r="X154" i="6"/>
  <c r="K162" i="6"/>
  <c r="J174" i="6"/>
  <c r="J178" i="6"/>
  <c r="F243" i="9"/>
  <c r="K243" i="9" s="1"/>
  <c r="L243" i="9" s="1"/>
  <c r="T201" i="6"/>
  <c r="D30" i="6"/>
  <c r="K30" i="6" s="1"/>
  <c r="W30" i="6" s="1"/>
  <c r="F38" i="6"/>
  <c r="G38" i="6" s="1"/>
  <c r="N38" i="6" s="1"/>
  <c r="X38" i="6" s="1"/>
  <c r="H46" i="6"/>
  <c r="I63" i="6"/>
  <c r="H63" i="6"/>
  <c r="I67" i="6"/>
  <c r="W71" i="6"/>
  <c r="H72" i="6"/>
  <c r="K72" i="6" s="1"/>
  <c r="K73" i="6"/>
  <c r="W73" i="6" s="1"/>
  <c r="H82" i="6"/>
  <c r="L112" i="6"/>
  <c r="M112" i="6" s="1"/>
  <c r="Y112" i="6" s="1"/>
  <c r="AA112" i="6" s="1"/>
  <c r="E117" i="6"/>
  <c r="D117" i="6"/>
  <c r="C117" i="6"/>
  <c r="J117" i="6" s="1"/>
  <c r="F127" i="6"/>
  <c r="G127" i="6" s="1"/>
  <c r="N127" i="6" s="1"/>
  <c r="D127" i="6"/>
  <c r="K127" i="6" s="1"/>
  <c r="W127" i="6" s="1"/>
  <c r="E127" i="6"/>
  <c r="L127" i="6" s="1"/>
  <c r="M127" i="6" s="1"/>
  <c r="Y127" i="6" s="1"/>
  <c r="AA127" i="6" s="1"/>
  <c r="C127" i="6"/>
  <c r="J127" i="6" s="1"/>
  <c r="Y136" i="6"/>
  <c r="AA136" i="6" s="1"/>
  <c r="W144" i="6"/>
  <c r="I190" i="6"/>
  <c r="H190" i="6"/>
  <c r="T199" i="6"/>
  <c r="F234" i="9"/>
  <c r="T192" i="6"/>
  <c r="K194" i="3"/>
  <c r="J201" i="3"/>
  <c r="H243" i="9" s="1"/>
  <c r="L203" i="3"/>
  <c r="C5" i="6"/>
  <c r="J5" i="6" s="1"/>
  <c r="C13" i="6"/>
  <c r="J13" i="6" s="1"/>
  <c r="C21" i="6"/>
  <c r="J21" i="6" s="1"/>
  <c r="F30" i="6"/>
  <c r="G30" i="6" s="1"/>
  <c r="N30" i="6" s="1"/>
  <c r="X30" i="6" s="1"/>
  <c r="H38" i="6"/>
  <c r="K40" i="6"/>
  <c r="W40" i="6" s="1"/>
  <c r="AB40" i="6" s="1"/>
  <c r="H43" i="6"/>
  <c r="K43" i="6" s="1"/>
  <c r="O43" i="6" s="1"/>
  <c r="AC43" i="6" s="1"/>
  <c r="E45" i="6"/>
  <c r="L45" i="6" s="1"/>
  <c r="M45" i="6" s="1"/>
  <c r="C45" i="6"/>
  <c r="J45" i="6" s="1"/>
  <c r="O45" i="6" s="1"/>
  <c r="AC45" i="6" s="1"/>
  <c r="I46" i="6"/>
  <c r="W47" i="6"/>
  <c r="E53" i="6"/>
  <c r="L53" i="6" s="1"/>
  <c r="M53" i="6" s="1"/>
  <c r="Y53" i="6" s="1"/>
  <c r="AA53" i="6" s="1"/>
  <c r="D53" i="6"/>
  <c r="K53" i="6" s="1"/>
  <c r="C53" i="6"/>
  <c r="J53" i="6" s="1"/>
  <c r="I55" i="6"/>
  <c r="H55" i="6"/>
  <c r="D57" i="6"/>
  <c r="C63" i="6"/>
  <c r="J63" i="6" s="1"/>
  <c r="Y64" i="6"/>
  <c r="AA64" i="6" s="1"/>
  <c r="V68" i="6"/>
  <c r="AB68" i="6" s="1"/>
  <c r="Y71" i="6"/>
  <c r="AA71" i="6" s="1"/>
  <c r="L72" i="6"/>
  <c r="M72" i="6" s="1"/>
  <c r="Y72" i="6" s="1"/>
  <c r="AA72" i="6" s="1"/>
  <c r="V80" i="6"/>
  <c r="AB80" i="6" s="1"/>
  <c r="X84" i="6"/>
  <c r="E100" i="6"/>
  <c r="L100" i="6" s="1"/>
  <c r="M100" i="6" s="1"/>
  <c r="Y100" i="6" s="1"/>
  <c r="AA100" i="6" s="1"/>
  <c r="C100" i="6"/>
  <c r="J100" i="6" s="1"/>
  <c r="F100" i="6"/>
  <c r="G100" i="6" s="1"/>
  <c r="N100" i="6" s="1"/>
  <c r="X100" i="6" s="1"/>
  <c r="D100" i="6"/>
  <c r="K100" i="6" s="1"/>
  <c r="E101" i="6"/>
  <c r="L101" i="6" s="1"/>
  <c r="M101" i="6" s="1"/>
  <c r="Y101" i="6" s="1"/>
  <c r="AA101" i="6" s="1"/>
  <c r="D101" i="6"/>
  <c r="K101" i="6" s="1"/>
  <c r="W101" i="6" s="1"/>
  <c r="N115" i="6"/>
  <c r="X115" i="6" s="1"/>
  <c r="L117" i="6"/>
  <c r="M117" i="6" s="1"/>
  <c r="Y117" i="6" s="1"/>
  <c r="AA117" i="6" s="1"/>
  <c r="D120" i="6"/>
  <c r="K120" i="6" s="1"/>
  <c r="I127" i="6"/>
  <c r="H127" i="6"/>
  <c r="V130" i="6"/>
  <c r="Y144" i="6"/>
  <c r="AA144" i="6" s="1"/>
  <c r="W167" i="6"/>
  <c r="W181" i="6"/>
  <c r="AB197" i="6"/>
  <c r="K241" i="9"/>
  <c r="L241" i="9" s="1"/>
  <c r="K201" i="3"/>
  <c r="D5" i="6"/>
  <c r="K5" i="6" s="1"/>
  <c r="W5" i="6" s="1"/>
  <c r="D13" i="6"/>
  <c r="K13" i="6" s="1"/>
  <c r="W13" i="6" s="1"/>
  <c r="D21" i="6"/>
  <c r="K21" i="6" s="1"/>
  <c r="W21" i="6" s="1"/>
  <c r="K32" i="6"/>
  <c r="W32" i="6" s="1"/>
  <c r="H35" i="6"/>
  <c r="E37" i="6"/>
  <c r="L37" i="6" s="1"/>
  <c r="M37" i="6" s="1"/>
  <c r="Y37" i="6" s="1"/>
  <c r="AA37" i="6" s="1"/>
  <c r="C37" i="6"/>
  <c r="J37" i="6" s="1"/>
  <c r="I38" i="6"/>
  <c r="W39" i="6"/>
  <c r="I43" i="6"/>
  <c r="Y47" i="6"/>
  <c r="AA47" i="6" s="1"/>
  <c r="C50" i="6"/>
  <c r="J50" i="6" s="1"/>
  <c r="C55" i="6"/>
  <c r="J55" i="6" s="1"/>
  <c r="E57" i="6"/>
  <c r="L57" i="6" s="1"/>
  <c r="M57" i="6" s="1"/>
  <c r="Y57" i="6" s="1"/>
  <c r="AA57" i="6" s="1"/>
  <c r="D63" i="6"/>
  <c r="K63" i="6" s="1"/>
  <c r="W63" i="6" s="1"/>
  <c r="F70" i="6"/>
  <c r="G70" i="6" s="1"/>
  <c r="N70" i="6" s="1"/>
  <c r="E70" i="6"/>
  <c r="L70" i="6" s="1"/>
  <c r="M70" i="6" s="1"/>
  <c r="Y70" i="6" s="1"/>
  <c r="AA70" i="6" s="1"/>
  <c r="X71" i="6"/>
  <c r="F76" i="6"/>
  <c r="G76" i="6" s="1"/>
  <c r="N76" i="6" s="1"/>
  <c r="E76" i="6"/>
  <c r="L76" i="6" s="1"/>
  <c r="M76" i="6" s="1"/>
  <c r="Y76" i="6" s="1"/>
  <c r="AA76" i="6" s="1"/>
  <c r="D76" i="6"/>
  <c r="V81" i="6"/>
  <c r="Y86" i="6"/>
  <c r="AA86" i="6" s="1"/>
  <c r="X89" i="6"/>
  <c r="F110" i="6"/>
  <c r="G110" i="6" s="1"/>
  <c r="N110" i="6" s="1"/>
  <c r="X110" i="6" s="1"/>
  <c r="E110" i="6"/>
  <c r="L110" i="6" s="1"/>
  <c r="M110" i="6" s="1"/>
  <c r="Y110" i="6" s="1"/>
  <c r="AA110" i="6" s="1"/>
  <c r="H115" i="6"/>
  <c r="K115" i="6" s="1"/>
  <c r="W115" i="6" s="1"/>
  <c r="F117" i="6"/>
  <c r="G117" i="6" s="1"/>
  <c r="N117" i="6" s="1"/>
  <c r="X117" i="6" s="1"/>
  <c r="F118" i="6"/>
  <c r="G118" i="6" s="1"/>
  <c r="N118" i="6" s="1"/>
  <c r="X118" i="6" s="1"/>
  <c r="C118" i="6"/>
  <c r="J118" i="6" s="1"/>
  <c r="O118" i="6" s="1"/>
  <c r="AC118" i="6" s="1"/>
  <c r="E118" i="6"/>
  <c r="L118" i="6" s="1"/>
  <c r="M118" i="6" s="1"/>
  <c r="Y118" i="6" s="1"/>
  <c r="AA118" i="6" s="1"/>
  <c r="D118" i="6"/>
  <c r="K118" i="6" s="1"/>
  <c r="W118" i="6" s="1"/>
  <c r="E120" i="6"/>
  <c r="L120" i="6" s="1"/>
  <c r="M120" i="6" s="1"/>
  <c r="Y120" i="6" s="1"/>
  <c r="AA120" i="6" s="1"/>
  <c r="X202" i="6"/>
  <c r="F232" i="9"/>
  <c r="K232" i="9" s="1"/>
  <c r="L232" i="9" s="1"/>
  <c r="M232" i="9" s="1"/>
  <c r="T190" i="6"/>
  <c r="J199" i="3"/>
  <c r="H241" i="9" s="1"/>
  <c r="L201" i="3"/>
  <c r="E5" i="6"/>
  <c r="L5" i="6" s="1"/>
  <c r="M5" i="6" s="1"/>
  <c r="Y5" i="6" s="1"/>
  <c r="AA5" i="6" s="1"/>
  <c r="E13" i="6"/>
  <c r="L13" i="6" s="1"/>
  <c r="M13" i="6" s="1"/>
  <c r="Y13" i="6" s="1"/>
  <c r="AA13" i="6" s="1"/>
  <c r="E21" i="6"/>
  <c r="L21" i="6" s="1"/>
  <c r="M21" i="6" s="1"/>
  <c r="Y21" i="6" s="1"/>
  <c r="AA21" i="6" s="1"/>
  <c r="K24" i="6"/>
  <c r="W24" i="6" s="1"/>
  <c r="E29" i="6"/>
  <c r="L29" i="6" s="1"/>
  <c r="M29" i="6" s="1"/>
  <c r="Y29" i="6" s="1"/>
  <c r="AA29" i="6" s="1"/>
  <c r="C29" i="6"/>
  <c r="J29" i="6" s="1"/>
  <c r="I35" i="6"/>
  <c r="Y39" i="6"/>
  <c r="AA39" i="6" s="1"/>
  <c r="K45" i="6"/>
  <c r="W45" i="6" s="1"/>
  <c r="D50" i="6"/>
  <c r="K50" i="6" s="1"/>
  <c r="D55" i="6"/>
  <c r="K55" i="6" s="1"/>
  <c r="W55" i="6" s="1"/>
  <c r="F57" i="6"/>
  <c r="G57" i="6" s="1"/>
  <c r="N57" i="6" s="1"/>
  <c r="X57" i="6" s="1"/>
  <c r="E61" i="6"/>
  <c r="L61" i="6" s="1"/>
  <c r="M61" i="6" s="1"/>
  <c r="Y61" i="6" s="1"/>
  <c r="AA61" i="6" s="1"/>
  <c r="D61" i="6"/>
  <c r="K61" i="6" s="1"/>
  <c r="W61" i="6" s="1"/>
  <c r="C61" i="6"/>
  <c r="J61" i="6" s="1"/>
  <c r="O61" i="6" s="1"/>
  <c r="AC61" i="6" s="1"/>
  <c r="V62" i="6"/>
  <c r="E63" i="6"/>
  <c r="L63" i="6" s="1"/>
  <c r="M63" i="6" s="1"/>
  <c r="Y63" i="6" s="1"/>
  <c r="AA63" i="6" s="1"/>
  <c r="L67" i="6"/>
  <c r="M67" i="6" s="1"/>
  <c r="Y67" i="6" s="1"/>
  <c r="AA67" i="6" s="1"/>
  <c r="Y68" i="6"/>
  <c r="AA68" i="6" s="1"/>
  <c r="Y80" i="6"/>
  <c r="AA80" i="6" s="1"/>
  <c r="X86" i="6"/>
  <c r="V90" i="6"/>
  <c r="E92" i="6"/>
  <c r="L92" i="6" s="1"/>
  <c r="M92" i="6" s="1"/>
  <c r="Y92" i="6" s="1"/>
  <c r="AA92" i="6" s="1"/>
  <c r="C92" i="6"/>
  <c r="J92" i="6" s="1"/>
  <c r="O92" i="6" s="1"/>
  <c r="AC92" i="6" s="1"/>
  <c r="O107" i="6"/>
  <c r="AC107" i="6" s="1"/>
  <c r="I110" i="6"/>
  <c r="H110" i="6"/>
  <c r="K110" i="6" s="1"/>
  <c r="I115" i="6"/>
  <c r="H117" i="6"/>
  <c r="F120" i="6"/>
  <c r="G120" i="6" s="1"/>
  <c r="N120" i="6" s="1"/>
  <c r="X120" i="6" s="1"/>
  <c r="W156" i="6"/>
  <c r="AB156" i="6" s="1"/>
  <c r="F239" i="9"/>
  <c r="T197" i="6"/>
  <c r="W23" i="6"/>
  <c r="AB23" i="6" s="1"/>
  <c r="Y31" i="6"/>
  <c r="AA31" i="6" s="1"/>
  <c r="J35" i="6"/>
  <c r="O35" i="6" s="1"/>
  <c r="AC35" i="6" s="1"/>
  <c r="K37" i="6"/>
  <c r="W37" i="6" s="1"/>
  <c r="F50" i="6"/>
  <c r="G50" i="6" s="1"/>
  <c r="N50" i="6" s="1"/>
  <c r="X50" i="6" s="1"/>
  <c r="V54" i="6"/>
  <c r="E55" i="6"/>
  <c r="L55" i="6" s="1"/>
  <c r="M55" i="6" s="1"/>
  <c r="Y55" i="6" s="1"/>
  <c r="AA55" i="6" s="1"/>
  <c r="H59" i="6"/>
  <c r="K59" i="6" s="1"/>
  <c r="W59" i="6" s="1"/>
  <c r="H73" i="6"/>
  <c r="I77" i="6"/>
  <c r="H77" i="6"/>
  <c r="K77" i="6" s="1"/>
  <c r="Y82" i="6"/>
  <c r="AA82" i="6" s="1"/>
  <c r="H120" i="6"/>
  <c r="O122" i="6"/>
  <c r="AC122" i="6" s="1"/>
  <c r="K151" i="6"/>
  <c r="W151" i="6" s="1"/>
  <c r="O173" i="6"/>
  <c r="AC173" i="6" s="1"/>
  <c r="X178" i="6"/>
  <c r="L190" i="6"/>
  <c r="M190" i="6" s="1"/>
  <c r="Y190" i="6" s="1"/>
  <c r="AA190" i="6" s="1"/>
  <c r="C23" i="7"/>
  <c r="Y23" i="6"/>
  <c r="AA23" i="6" s="1"/>
  <c r="K29" i="6"/>
  <c r="H40" i="6"/>
  <c r="Y52" i="6"/>
  <c r="AA52" i="6" s="1"/>
  <c r="AB52" i="6" s="1"/>
  <c r="Y56" i="6"/>
  <c r="AA56" i="6" s="1"/>
  <c r="K70" i="6"/>
  <c r="O70" i="6" s="1"/>
  <c r="AC70" i="6" s="1"/>
  <c r="E74" i="6"/>
  <c r="L74" i="6" s="1"/>
  <c r="M74" i="6" s="1"/>
  <c r="Y74" i="6" s="1"/>
  <c r="AA74" i="6" s="1"/>
  <c r="F74" i="6"/>
  <c r="G74" i="6" s="1"/>
  <c r="N74" i="6" s="1"/>
  <c r="X74" i="6" s="1"/>
  <c r="C74" i="6"/>
  <c r="J74" i="6" s="1"/>
  <c r="O74" i="6" s="1"/>
  <c r="AC74" i="6" s="1"/>
  <c r="O79" i="6"/>
  <c r="AC79" i="6" s="1"/>
  <c r="V88" i="6"/>
  <c r="D92" i="6"/>
  <c r="K92" i="6" s="1"/>
  <c r="W92" i="6" s="1"/>
  <c r="F104" i="6"/>
  <c r="G104" i="6" s="1"/>
  <c r="N104" i="6" s="1"/>
  <c r="X104" i="6" s="1"/>
  <c r="C104" i="6"/>
  <c r="J104" i="6" s="1"/>
  <c r="Y111" i="6"/>
  <c r="AA111" i="6" s="1"/>
  <c r="V113" i="6"/>
  <c r="V114" i="6"/>
  <c r="I120" i="6"/>
  <c r="X127" i="6"/>
  <c r="AA139" i="6"/>
  <c r="AB139" i="6" s="1"/>
  <c r="V152" i="6"/>
  <c r="AB152" i="6" s="1"/>
  <c r="K189" i="6"/>
  <c r="O189" i="6" s="1"/>
  <c r="AC189" i="6" s="1"/>
  <c r="V199" i="6"/>
  <c r="F237" i="9"/>
  <c r="T195" i="6"/>
  <c r="K197" i="3"/>
  <c r="D26" i="6"/>
  <c r="K26" i="6" s="1"/>
  <c r="F29" i="6"/>
  <c r="G29" i="6" s="1"/>
  <c r="N29" i="6" s="1"/>
  <c r="X29" i="6" s="1"/>
  <c r="H32" i="6"/>
  <c r="F34" i="6"/>
  <c r="G34" i="6" s="1"/>
  <c r="N34" i="6" s="1"/>
  <c r="O34" i="6" s="1"/>
  <c r="AC34" i="6" s="1"/>
  <c r="Y36" i="6"/>
  <c r="AA36" i="6" s="1"/>
  <c r="L48" i="6"/>
  <c r="M48" i="6" s="1"/>
  <c r="O48" i="6" s="1"/>
  <c r="AC48" i="6" s="1"/>
  <c r="I57" i="6"/>
  <c r="V60" i="6"/>
  <c r="J64" i="6"/>
  <c r="O64" i="6" s="1"/>
  <c r="AC64" i="6" s="1"/>
  <c r="H76" i="6"/>
  <c r="I80" i="6"/>
  <c r="H80" i="6"/>
  <c r="K88" i="6"/>
  <c r="W88" i="6" s="1"/>
  <c r="F92" i="6"/>
  <c r="G92" i="6" s="1"/>
  <c r="N92" i="6" s="1"/>
  <c r="X92" i="6" s="1"/>
  <c r="E95" i="6"/>
  <c r="L95" i="6" s="1"/>
  <c r="M95" i="6" s="1"/>
  <c r="Y95" i="6" s="1"/>
  <c r="AA95" i="6" s="1"/>
  <c r="C95" i="6"/>
  <c r="J95" i="6" s="1"/>
  <c r="I101" i="6"/>
  <c r="L104" i="6"/>
  <c r="M104" i="6" s="1"/>
  <c r="I104" i="6"/>
  <c r="H104" i="6"/>
  <c r="K104" i="6" s="1"/>
  <c r="W104" i="6" s="1"/>
  <c r="O106" i="6"/>
  <c r="AC106" i="6" s="1"/>
  <c r="Y107" i="6"/>
  <c r="AA107" i="6" s="1"/>
  <c r="F137" i="6"/>
  <c r="G137" i="6" s="1"/>
  <c r="N137" i="6" s="1"/>
  <c r="X137" i="6" s="1"/>
  <c r="E137" i="6"/>
  <c r="L137" i="6" s="1"/>
  <c r="M137" i="6" s="1"/>
  <c r="Y137" i="6" s="1"/>
  <c r="AA137" i="6" s="1"/>
  <c r="D137" i="6"/>
  <c r="K137" i="6" s="1"/>
  <c r="W137" i="6" s="1"/>
  <c r="C137" i="6"/>
  <c r="J137" i="6" s="1"/>
  <c r="F150" i="6"/>
  <c r="G150" i="6" s="1"/>
  <c r="N150" i="6" s="1"/>
  <c r="X150" i="6" s="1"/>
  <c r="E150" i="6"/>
  <c r="L150" i="6" s="1"/>
  <c r="M150" i="6" s="1"/>
  <c r="W75" i="6"/>
  <c r="AB75" i="6" s="1"/>
  <c r="I111" i="6"/>
  <c r="H111" i="6"/>
  <c r="L111" i="6"/>
  <c r="M111" i="6" s="1"/>
  <c r="E116" i="6"/>
  <c r="L116" i="6" s="1"/>
  <c r="M116" i="6" s="1"/>
  <c r="Y116" i="6" s="1"/>
  <c r="AA116" i="6" s="1"/>
  <c r="C116" i="6"/>
  <c r="J116" i="6" s="1"/>
  <c r="O116" i="6" s="1"/>
  <c r="AC116" i="6" s="1"/>
  <c r="X119" i="6"/>
  <c r="L129" i="6"/>
  <c r="M129" i="6" s="1"/>
  <c r="Y129" i="6" s="1"/>
  <c r="AA129" i="6" s="1"/>
  <c r="I129" i="6"/>
  <c r="I136" i="6"/>
  <c r="H136" i="6"/>
  <c r="E141" i="6"/>
  <c r="L141" i="6" s="1"/>
  <c r="M141" i="6" s="1"/>
  <c r="Y141" i="6" s="1"/>
  <c r="AA141" i="6" s="1"/>
  <c r="D141" i="6"/>
  <c r="C141" i="6"/>
  <c r="J141" i="6" s="1"/>
  <c r="F141" i="6"/>
  <c r="G141" i="6" s="1"/>
  <c r="N141" i="6" s="1"/>
  <c r="X141" i="6" s="1"/>
  <c r="X163" i="6"/>
  <c r="K170" i="6"/>
  <c r="W170" i="6" s="1"/>
  <c r="F102" i="6"/>
  <c r="G102" i="6" s="1"/>
  <c r="N102" i="6" s="1"/>
  <c r="C102" i="6"/>
  <c r="J102" i="6" s="1"/>
  <c r="L105" i="6"/>
  <c r="M105" i="6" s="1"/>
  <c r="X125" i="6"/>
  <c r="Y130" i="6"/>
  <c r="AA130" i="6" s="1"/>
  <c r="E133" i="6"/>
  <c r="L133" i="6" s="1"/>
  <c r="M133" i="6" s="1"/>
  <c r="Y133" i="6" s="1"/>
  <c r="AA133" i="6" s="1"/>
  <c r="D133" i="6"/>
  <c r="K133" i="6" s="1"/>
  <c r="W133" i="6" s="1"/>
  <c r="F133" i="6"/>
  <c r="G133" i="6" s="1"/>
  <c r="N133" i="6" s="1"/>
  <c r="X133" i="6" s="1"/>
  <c r="C133" i="6"/>
  <c r="J133" i="6" s="1"/>
  <c r="V133" i="6" s="1"/>
  <c r="F134" i="6"/>
  <c r="G134" i="6" s="1"/>
  <c r="N134" i="6" s="1"/>
  <c r="X134" i="6" s="1"/>
  <c r="E134" i="6"/>
  <c r="I143" i="6"/>
  <c r="H143" i="6"/>
  <c r="L143" i="6"/>
  <c r="M143" i="6" s="1"/>
  <c r="Y143" i="6" s="1"/>
  <c r="AA143" i="6" s="1"/>
  <c r="X172" i="6"/>
  <c r="X174" i="6"/>
  <c r="F198" i="6"/>
  <c r="G198" i="6" s="1"/>
  <c r="N198" i="6" s="1"/>
  <c r="X198" i="6" s="1"/>
  <c r="E198" i="6"/>
  <c r="L198" i="6" s="1"/>
  <c r="M198" i="6" s="1"/>
  <c r="Y198" i="6" s="1"/>
  <c r="AA198" i="6" s="1"/>
  <c r="D198" i="6"/>
  <c r="Y84" i="6"/>
  <c r="AA84" i="6" s="1"/>
  <c r="X95" i="6"/>
  <c r="I102" i="6"/>
  <c r="H102" i="6"/>
  <c r="K102" i="6" s="1"/>
  <c r="W102" i="6" s="1"/>
  <c r="Y103" i="6"/>
  <c r="AA103" i="6" s="1"/>
  <c r="D116" i="6"/>
  <c r="K116" i="6" s="1"/>
  <c r="W116" i="6" s="1"/>
  <c r="V120" i="6"/>
  <c r="I134" i="6"/>
  <c r="H134" i="6"/>
  <c r="L134" i="6"/>
  <c r="M134" i="6" s="1"/>
  <c r="F135" i="6"/>
  <c r="G135" i="6" s="1"/>
  <c r="N135" i="6" s="1"/>
  <c r="X135" i="6" s="1"/>
  <c r="E135" i="6"/>
  <c r="L135" i="6" s="1"/>
  <c r="M135" i="6" s="1"/>
  <c r="Y135" i="6" s="1"/>
  <c r="AA135" i="6" s="1"/>
  <c r="D135" i="6"/>
  <c r="K135" i="6" s="1"/>
  <c r="O135" i="6" s="1"/>
  <c r="AC135" i="6" s="1"/>
  <c r="H141" i="6"/>
  <c r="H146" i="6"/>
  <c r="L146" i="6"/>
  <c r="M146" i="6" s="1"/>
  <c r="Y146" i="6" s="1"/>
  <c r="AA146" i="6" s="1"/>
  <c r="I146" i="6"/>
  <c r="O147" i="6"/>
  <c r="AC147" i="6" s="1"/>
  <c r="V147" i="6"/>
  <c r="AB147" i="6" s="1"/>
  <c r="V150" i="6"/>
  <c r="I169" i="6"/>
  <c r="V181" i="6"/>
  <c r="V193" i="6"/>
  <c r="O197" i="6"/>
  <c r="AC197" i="6" s="1"/>
  <c r="I198" i="6"/>
  <c r="H198" i="6"/>
  <c r="W86" i="6"/>
  <c r="Y99" i="6"/>
  <c r="AA99" i="6" s="1"/>
  <c r="X103" i="6"/>
  <c r="K107" i="6"/>
  <c r="W107" i="6" s="1"/>
  <c r="AB107" i="6" s="1"/>
  <c r="X112" i="6"/>
  <c r="C134" i="6"/>
  <c r="J134" i="6" s="1"/>
  <c r="I138" i="6"/>
  <c r="H138" i="6"/>
  <c r="K138" i="6" s="1"/>
  <c r="K143" i="6"/>
  <c r="O143" i="6" s="1"/>
  <c r="AC143" i="6" s="1"/>
  <c r="Y151" i="6"/>
  <c r="AA151" i="6" s="1"/>
  <c r="O166" i="6"/>
  <c r="AC166" i="6" s="1"/>
  <c r="D168" i="6"/>
  <c r="K168" i="6" s="1"/>
  <c r="W168" i="6" s="1"/>
  <c r="F168" i="6"/>
  <c r="G168" i="6" s="1"/>
  <c r="N168" i="6" s="1"/>
  <c r="E168" i="6"/>
  <c r="L168" i="6" s="1"/>
  <c r="M168" i="6" s="1"/>
  <c r="Y168" i="6" s="1"/>
  <c r="AA168" i="6" s="1"/>
  <c r="C168" i="6"/>
  <c r="J168" i="6" s="1"/>
  <c r="N179" i="6"/>
  <c r="V184" i="6"/>
  <c r="K197" i="6"/>
  <c r="W197" i="6" s="1"/>
  <c r="C198" i="6"/>
  <c r="J198" i="6" s="1"/>
  <c r="K122" i="6"/>
  <c r="W122" i="6" s="1"/>
  <c r="AB122" i="6" s="1"/>
  <c r="O139" i="6"/>
  <c r="AC139" i="6" s="1"/>
  <c r="K146" i="6"/>
  <c r="W146" i="6" s="1"/>
  <c r="AB146" i="6" s="1"/>
  <c r="X151" i="6"/>
  <c r="K158" i="6"/>
  <c r="W158" i="6" s="1"/>
  <c r="K166" i="6"/>
  <c r="W166" i="6" s="1"/>
  <c r="H179" i="6"/>
  <c r="L179" i="6"/>
  <c r="M179" i="6" s="1"/>
  <c r="Y179" i="6" s="1"/>
  <c r="AA179" i="6" s="1"/>
  <c r="I179" i="6"/>
  <c r="L196" i="6"/>
  <c r="M196" i="6" s="1"/>
  <c r="Y196" i="6" s="1"/>
  <c r="AA196" i="6" s="1"/>
  <c r="I196" i="6"/>
  <c r="H196" i="6"/>
  <c r="K196" i="6" s="1"/>
  <c r="W196" i="6" s="1"/>
  <c r="Y201" i="6"/>
  <c r="AA201" i="6" s="1"/>
  <c r="W83" i="6"/>
  <c r="H91" i="6"/>
  <c r="K91" i="6" s="1"/>
  <c r="E93" i="6"/>
  <c r="L93" i="6" s="1"/>
  <c r="M93" i="6" s="1"/>
  <c r="Y93" i="6" s="1"/>
  <c r="AA93" i="6" s="1"/>
  <c r="D93" i="6"/>
  <c r="K93" i="6" s="1"/>
  <c r="O93" i="6" s="1"/>
  <c r="AC93" i="6" s="1"/>
  <c r="I95" i="6"/>
  <c r="H95" i="6"/>
  <c r="E97" i="6"/>
  <c r="L97" i="6" s="1"/>
  <c r="M97" i="6" s="1"/>
  <c r="Y97" i="6" s="1"/>
  <c r="AA97" i="6" s="1"/>
  <c r="N114" i="6"/>
  <c r="X114" i="6" s="1"/>
  <c r="H169" i="6"/>
  <c r="C179" i="6"/>
  <c r="J179" i="6" s="1"/>
  <c r="J196" i="6"/>
  <c r="V196" i="6" s="1"/>
  <c r="I103" i="6"/>
  <c r="H103" i="6"/>
  <c r="K103" i="6" s="1"/>
  <c r="V104" i="6"/>
  <c r="V110" i="6"/>
  <c r="V121" i="6"/>
  <c r="E125" i="6"/>
  <c r="L125" i="6" s="1"/>
  <c r="M125" i="6" s="1"/>
  <c r="Y125" i="6" s="1"/>
  <c r="AA125" i="6" s="1"/>
  <c r="D125" i="6"/>
  <c r="F175" i="6"/>
  <c r="G175" i="6" s="1"/>
  <c r="N175" i="6" s="1"/>
  <c r="X175" i="6" s="1"/>
  <c r="E175" i="6"/>
  <c r="L175" i="6" s="1"/>
  <c r="M175" i="6" s="1"/>
  <c r="Y175" i="6" s="1"/>
  <c r="AA175" i="6" s="1"/>
  <c r="D176" i="6"/>
  <c r="K176" i="6" s="1"/>
  <c r="W176" i="6" s="1"/>
  <c r="F176" i="6"/>
  <c r="G176" i="6" s="1"/>
  <c r="N176" i="6" s="1"/>
  <c r="E176" i="6"/>
  <c r="L176" i="6" s="1"/>
  <c r="M176" i="6" s="1"/>
  <c r="Y176" i="6" s="1"/>
  <c r="AA176" i="6" s="1"/>
  <c r="C176" i="6"/>
  <c r="J176" i="6" s="1"/>
  <c r="K179" i="6"/>
  <c r="W179" i="6" s="1"/>
  <c r="L188" i="6"/>
  <c r="M188" i="6" s="1"/>
  <c r="Y188" i="6" s="1"/>
  <c r="AA188" i="6" s="1"/>
  <c r="H188" i="6"/>
  <c r="K188" i="6" s="1"/>
  <c r="I188" i="6"/>
  <c r="D192" i="6"/>
  <c r="K192" i="6" s="1"/>
  <c r="W192" i="6" s="1"/>
  <c r="F192" i="6"/>
  <c r="G192" i="6" s="1"/>
  <c r="N192" i="6" s="1"/>
  <c r="X192" i="6" s="1"/>
  <c r="E152" i="6"/>
  <c r="L152" i="6" s="1"/>
  <c r="M152" i="6" s="1"/>
  <c r="D152" i="6"/>
  <c r="K152" i="6" s="1"/>
  <c r="W152" i="6" s="1"/>
  <c r="C152" i="6"/>
  <c r="J152" i="6" s="1"/>
  <c r="O152" i="6" s="1"/>
  <c r="AC152" i="6" s="1"/>
  <c r="L153" i="6"/>
  <c r="M153" i="6" s="1"/>
  <c r="Y153" i="6" s="1"/>
  <c r="AA153" i="6" s="1"/>
  <c r="I153" i="6"/>
  <c r="V188" i="6"/>
  <c r="C86" i="6"/>
  <c r="J86" i="6" s="1"/>
  <c r="O86" i="6" s="1"/>
  <c r="AC86" i="6" s="1"/>
  <c r="F93" i="6"/>
  <c r="G93" i="6" s="1"/>
  <c r="N93" i="6" s="1"/>
  <c r="H97" i="6"/>
  <c r="Y104" i="6"/>
  <c r="AA104" i="6" s="1"/>
  <c r="I105" i="6"/>
  <c r="K105" i="6" s="1"/>
  <c r="J112" i="6"/>
  <c r="J115" i="6"/>
  <c r="V118" i="6"/>
  <c r="I122" i="6"/>
  <c r="C125" i="6"/>
  <c r="J125" i="6" s="1"/>
  <c r="V125" i="6" s="1"/>
  <c r="V135" i="6"/>
  <c r="V144" i="6"/>
  <c r="V145" i="6"/>
  <c r="J153" i="6"/>
  <c r="O153" i="6" s="1"/>
  <c r="AC153" i="6" s="1"/>
  <c r="F154" i="6"/>
  <c r="G154" i="6" s="1"/>
  <c r="N154" i="6" s="1"/>
  <c r="E154" i="6"/>
  <c r="L154" i="6" s="1"/>
  <c r="M154" i="6" s="1"/>
  <c r="Y154" i="6" s="1"/>
  <c r="AA154" i="6" s="1"/>
  <c r="D154" i="6"/>
  <c r="K154" i="6" s="1"/>
  <c r="W154" i="6" s="1"/>
  <c r="C154" i="6"/>
  <c r="J154" i="6" s="1"/>
  <c r="V154" i="6" s="1"/>
  <c r="AB154" i="6" s="1"/>
  <c r="Y158" i="6"/>
  <c r="AA158" i="6" s="1"/>
  <c r="N174" i="6"/>
  <c r="C175" i="6"/>
  <c r="J175" i="6" s="1"/>
  <c r="F178" i="6"/>
  <c r="G178" i="6" s="1"/>
  <c r="N178" i="6" s="1"/>
  <c r="E178" i="6"/>
  <c r="V180" i="6"/>
  <c r="D191" i="6"/>
  <c r="K191" i="6" s="1"/>
  <c r="C192" i="6"/>
  <c r="J192" i="6" s="1"/>
  <c r="F194" i="6"/>
  <c r="G194" i="6" s="1"/>
  <c r="N194" i="6" s="1"/>
  <c r="X194" i="6" s="1"/>
  <c r="E194" i="6"/>
  <c r="L194" i="6" s="1"/>
  <c r="M194" i="6" s="1"/>
  <c r="Y194" i="6" s="1"/>
  <c r="AA194" i="6" s="1"/>
  <c r="C194" i="6"/>
  <c r="J194" i="6" s="1"/>
  <c r="V194" i="6" s="1"/>
  <c r="N196" i="6"/>
  <c r="X196" i="6" s="1"/>
  <c r="F202" i="6"/>
  <c r="G202" i="6" s="1"/>
  <c r="N202" i="6" s="1"/>
  <c r="E202" i="6"/>
  <c r="L202" i="6" s="1"/>
  <c r="M202" i="6" s="1"/>
  <c r="Y202" i="6" s="1"/>
  <c r="AA202" i="6" s="1"/>
  <c r="D202" i="6"/>
  <c r="C202" i="6"/>
  <c r="J202" i="6" s="1"/>
  <c r="V202" i="6" s="1"/>
  <c r="I135" i="6"/>
  <c r="H135" i="6"/>
  <c r="W149" i="6"/>
  <c r="N158" i="6"/>
  <c r="X158" i="6" s="1"/>
  <c r="V164" i="6"/>
  <c r="F167" i="6"/>
  <c r="G167" i="6" s="1"/>
  <c r="N167" i="6" s="1"/>
  <c r="X167" i="6" s="1"/>
  <c r="E167" i="6"/>
  <c r="L167" i="6" s="1"/>
  <c r="M167" i="6" s="1"/>
  <c r="Y167" i="6" s="1"/>
  <c r="AA167" i="6" s="1"/>
  <c r="D167" i="6"/>
  <c r="K167" i="6" s="1"/>
  <c r="C167" i="6"/>
  <c r="J167" i="6" s="1"/>
  <c r="AA199" i="6"/>
  <c r="Y203" i="6"/>
  <c r="AA203" i="6" s="1"/>
  <c r="Y152" i="6"/>
  <c r="AA152" i="6" s="1"/>
  <c r="I158" i="6"/>
  <c r="H158" i="6"/>
  <c r="F171" i="6"/>
  <c r="G171" i="6" s="1"/>
  <c r="N171" i="6" s="1"/>
  <c r="E171" i="6"/>
  <c r="L171" i="6" s="1"/>
  <c r="M171" i="6" s="1"/>
  <c r="Y171" i="6" s="1"/>
  <c r="AA171" i="6" s="1"/>
  <c r="D171" i="6"/>
  <c r="V173" i="6"/>
  <c r="AB173" i="6" s="1"/>
  <c r="D184" i="6"/>
  <c r="K184" i="6" s="1"/>
  <c r="W184" i="6" s="1"/>
  <c r="F184" i="6"/>
  <c r="G184" i="6" s="1"/>
  <c r="N184" i="6" s="1"/>
  <c r="X184" i="6" s="1"/>
  <c r="E184" i="6"/>
  <c r="L184" i="6" s="1"/>
  <c r="M184" i="6" s="1"/>
  <c r="Y184" i="6" s="1"/>
  <c r="AA184" i="6" s="1"/>
  <c r="X190" i="6"/>
  <c r="X203" i="6"/>
  <c r="J144" i="6"/>
  <c r="I151" i="6"/>
  <c r="H151" i="6"/>
  <c r="L151" i="6"/>
  <c r="M151" i="6" s="1"/>
  <c r="J158" i="6"/>
  <c r="X168" i="6"/>
  <c r="H171" i="6"/>
  <c r="I171" i="6"/>
  <c r="L172" i="6"/>
  <c r="M172" i="6" s="1"/>
  <c r="Y172" i="6" s="1"/>
  <c r="AA172" i="6" s="1"/>
  <c r="I172" i="6"/>
  <c r="L181" i="6"/>
  <c r="M181" i="6" s="1"/>
  <c r="Y181" i="6" s="1"/>
  <c r="AA181" i="6" s="1"/>
  <c r="I181" i="6"/>
  <c r="H181" i="6"/>
  <c r="V187" i="6"/>
  <c r="W126" i="6"/>
  <c r="X142" i="6"/>
  <c r="K144" i="6"/>
  <c r="C151" i="6"/>
  <c r="J151" i="6" s="1"/>
  <c r="V151" i="6" s="1"/>
  <c r="AB151" i="6" s="1"/>
  <c r="F155" i="6"/>
  <c r="G155" i="6" s="1"/>
  <c r="N155" i="6" s="1"/>
  <c r="X155" i="6" s="1"/>
  <c r="E155" i="6"/>
  <c r="L155" i="6" s="1"/>
  <c r="M155" i="6" s="1"/>
  <c r="Y155" i="6" s="1"/>
  <c r="AA155" i="6" s="1"/>
  <c r="D155" i="6"/>
  <c r="K155" i="6" s="1"/>
  <c r="O155" i="6" s="1"/>
  <c r="AC155" i="6" s="1"/>
  <c r="C159" i="6"/>
  <c r="J159" i="6" s="1"/>
  <c r="H163" i="6"/>
  <c r="L163" i="6"/>
  <c r="M163" i="6" s="1"/>
  <c r="Y163" i="6" s="1"/>
  <c r="AA163" i="6" s="1"/>
  <c r="C171" i="6"/>
  <c r="J171" i="6" s="1"/>
  <c r="C172" i="6"/>
  <c r="J172" i="6" s="1"/>
  <c r="C181" i="6"/>
  <c r="J181" i="6" s="1"/>
  <c r="AB182" i="6"/>
  <c r="C184" i="6"/>
  <c r="J184" i="6" s="1"/>
  <c r="F185" i="6"/>
  <c r="G185" i="6" s="1"/>
  <c r="N185" i="6" s="1"/>
  <c r="X185" i="6" s="1"/>
  <c r="D185" i="6"/>
  <c r="K185" i="6" s="1"/>
  <c r="W185" i="6" s="1"/>
  <c r="C185" i="6"/>
  <c r="J185" i="6" s="1"/>
  <c r="O185" i="6" s="1"/>
  <c r="AC185" i="6" s="1"/>
  <c r="W109" i="6"/>
  <c r="AB109" i="6" s="1"/>
  <c r="Y119" i="6"/>
  <c r="AA119" i="6" s="1"/>
  <c r="E124" i="6"/>
  <c r="L124" i="6" s="1"/>
  <c r="M124" i="6" s="1"/>
  <c r="Y124" i="6" s="1"/>
  <c r="AA124" i="6" s="1"/>
  <c r="C124" i="6"/>
  <c r="J124" i="6" s="1"/>
  <c r="I125" i="6"/>
  <c r="Y126" i="6"/>
  <c r="AA126" i="6" s="1"/>
  <c r="J128" i="6"/>
  <c r="V128" i="6" s="1"/>
  <c r="AB128" i="6" s="1"/>
  <c r="V134" i="6"/>
  <c r="F144" i="6"/>
  <c r="G144" i="6" s="1"/>
  <c r="N144" i="6" s="1"/>
  <c r="X144" i="6" s="1"/>
  <c r="H155" i="6"/>
  <c r="I155" i="6"/>
  <c r="E158" i="6"/>
  <c r="L158" i="6" s="1"/>
  <c r="M158" i="6" s="1"/>
  <c r="D159" i="6"/>
  <c r="K159" i="6" s="1"/>
  <c r="W159" i="6" s="1"/>
  <c r="H162" i="6"/>
  <c r="I162" i="6"/>
  <c r="C163" i="6"/>
  <c r="J163" i="6" s="1"/>
  <c r="D172" i="6"/>
  <c r="K172" i="6" s="1"/>
  <c r="W172" i="6" s="1"/>
  <c r="D181" i="6"/>
  <c r="K181" i="6" s="1"/>
  <c r="O182" i="6"/>
  <c r="AC182" i="6" s="1"/>
  <c r="L185" i="6"/>
  <c r="M185" i="6" s="1"/>
  <c r="Y185" i="6" s="1"/>
  <c r="AA185" i="6" s="1"/>
  <c r="H185" i="6"/>
  <c r="K160" i="6"/>
  <c r="W160" i="6" s="1"/>
  <c r="D163" i="6"/>
  <c r="X187" i="6"/>
  <c r="N190" i="6"/>
  <c r="E109" i="6"/>
  <c r="L109" i="6" s="1"/>
  <c r="M109" i="6" s="1"/>
  <c r="Y109" i="6" s="1"/>
  <c r="AA109" i="6" s="1"/>
  <c r="D109" i="6"/>
  <c r="K109" i="6" s="1"/>
  <c r="O109" i="6" s="1"/>
  <c r="AC109" i="6" s="1"/>
  <c r="X111" i="6"/>
  <c r="I119" i="6"/>
  <c r="H119" i="6"/>
  <c r="K119" i="6" s="1"/>
  <c r="L121" i="6"/>
  <c r="M121" i="6" s="1"/>
  <c r="Y121" i="6" s="1"/>
  <c r="AA121" i="6" s="1"/>
  <c r="I121" i="6"/>
  <c r="K121" i="6" s="1"/>
  <c r="F124" i="6"/>
  <c r="G124" i="6" s="1"/>
  <c r="N124" i="6" s="1"/>
  <c r="X124" i="6" s="1"/>
  <c r="F126" i="6"/>
  <c r="G126" i="6" s="1"/>
  <c r="N126" i="6" s="1"/>
  <c r="X126" i="6" s="1"/>
  <c r="C126" i="6"/>
  <c r="J126" i="6" s="1"/>
  <c r="V126" i="6" s="1"/>
  <c r="AB126" i="6" s="1"/>
  <c r="E128" i="6"/>
  <c r="E132" i="6"/>
  <c r="L132" i="6" s="1"/>
  <c r="M132" i="6" s="1"/>
  <c r="Y132" i="6" s="1"/>
  <c r="AA132" i="6" s="1"/>
  <c r="C132" i="6"/>
  <c r="J132" i="6" s="1"/>
  <c r="L144" i="6"/>
  <c r="M144" i="6" s="1"/>
  <c r="W150" i="6"/>
  <c r="V157" i="6"/>
  <c r="C160" i="6"/>
  <c r="J160" i="6" s="1"/>
  <c r="E162" i="6"/>
  <c r="L162" i="6" s="1"/>
  <c r="M162" i="6" s="1"/>
  <c r="Y162" i="6" s="1"/>
  <c r="AA162" i="6" s="1"/>
  <c r="F164" i="6"/>
  <c r="G164" i="6" s="1"/>
  <c r="N164" i="6" s="1"/>
  <c r="X164" i="6" s="1"/>
  <c r="E164" i="6"/>
  <c r="L164" i="6" s="1"/>
  <c r="M164" i="6" s="1"/>
  <c r="Y164" i="6" s="1"/>
  <c r="AA164" i="6" s="1"/>
  <c r="D164" i="6"/>
  <c r="K164" i="6" s="1"/>
  <c r="W164" i="6" s="1"/>
  <c r="C164" i="6"/>
  <c r="J164" i="6" s="1"/>
  <c r="X179" i="6"/>
  <c r="I185" i="6"/>
  <c r="C190" i="6"/>
  <c r="J190" i="6" s="1"/>
  <c r="H194" i="6"/>
  <c r="K194" i="6" s="1"/>
  <c r="W194" i="6" s="1"/>
  <c r="I194" i="6"/>
  <c r="H202" i="6"/>
  <c r="I202" i="6"/>
  <c r="X143" i="6"/>
  <c r="Y150" i="6"/>
  <c r="AA150" i="6" s="1"/>
  <c r="E160" i="6"/>
  <c r="L160" i="6" s="1"/>
  <c r="M160" i="6" s="1"/>
  <c r="Y160" i="6" s="1"/>
  <c r="AA160" i="6" s="1"/>
  <c r="V161" i="6"/>
  <c r="L165" i="6"/>
  <c r="M165" i="6" s="1"/>
  <c r="Y165" i="6" s="1"/>
  <c r="AA165" i="6" s="1"/>
  <c r="I165" i="6"/>
  <c r="H165" i="6"/>
  <c r="K165" i="6" s="1"/>
  <c r="F169" i="6"/>
  <c r="G169" i="6" s="1"/>
  <c r="N169" i="6" s="1"/>
  <c r="X169" i="6" s="1"/>
  <c r="D169" i="6"/>
  <c r="E169" i="6"/>
  <c r="L169" i="6" s="1"/>
  <c r="M169" i="6" s="1"/>
  <c r="Y169" i="6" s="1"/>
  <c r="AA169" i="6" s="1"/>
  <c r="H172" i="6"/>
  <c r="F201" i="6"/>
  <c r="G201" i="6" s="1"/>
  <c r="N201" i="6" s="1"/>
  <c r="X201" i="6" s="1"/>
  <c r="E201" i="6"/>
  <c r="L201" i="6" s="1"/>
  <c r="M201" i="6" s="1"/>
  <c r="D201" i="6"/>
  <c r="C201" i="6"/>
  <c r="J201" i="6" s="1"/>
  <c r="J47" i="9"/>
  <c r="K199" i="6"/>
  <c r="W199" i="6" s="1"/>
  <c r="V171" i="6"/>
  <c r="Y174" i="6"/>
  <c r="AA174" i="6" s="1"/>
  <c r="V177" i="6"/>
  <c r="L145" i="6"/>
  <c r="M145" i="6" s="1"/>
  <c r="Y145" i="6" s="1"/>
  <c r="AA145" i="6" s="1"/>
  <c r="X171" i="6"/>
  <c r="V178" i="6"/>
  <c r="F180" i="6"/>
  <c r="G180" i="6" s="1"/>
  <c r="N180" i="6" s="1"/>
  <c r="X180" i="6" s="1"/>
  <c r="E180" i="6"/>
  <c r="D180" i="6"/>
  <c r="K180" i="6" s="1"/>
  <c r="W180" i="6" s="1"/>
  <c r="C180" i="6"/>
  <c r="J180" i="6" s="1"/>
  <c r="Y187" i="6"/>
  <c r="AA187" i="6" s="1"/>
  <c r="V170" i="6"/>
  <c r="L180" i="6"/>
  <c r="M180" i="6" s="1"/>
  <c r="Y180" i="6" s="1"/>
  <c r="AA180" i="6" s="1"/>
  <c r="V186" i="6"/>
  <c r="F161" i="6"/>
  <c r="G161" i="6" s="1"/>
  <c r="N161" i="6" s="1"/>
  <c r="X161" i="6" s="1"/>
  <c r="D161" i="6"/>
  <c r="K161" i="6" s="1"/>
  <c r="O161" i="6" s="1"/>
  <c r="AC161" i="6" s="1"/>
  <c r="F177" i="6"/>
  <c r="G177" i="6" s="1"/>
  <c r="N177" i="6" s="1"/>
  <c r="X177" i="6" s="1"/>
  <c r="D177" i="6"/>
  <c r="K177" i="6" s="1"/>
  <c r="W177" i="6" s="1"/>
  <c r="F193" i="6"/>
  <c r="G193" i="6" s="1"/>
  <c r="N193" i="6" s="1"/>
  <c r="X193" i="6" s="1"/>
  <c r="D193" i="6"/>
  <c r="K193" i="6" s="1"/>
  <c r="O193" i="6" s="1"/>
  <c r="AC193" i="6" s="1"/>
  <c r="Y195" i="6"/>
  <c r="AA195" i="6" s="1"/>
  <c r="I203" i="6"/>
  <c r="H203" i="6"/>
  <c r="C140" i="6"/>
  <c r="J140" i="6" s="1"/>
  <c r="C148" i="6"/>
  <c r="J148" i="6" s="1"/>
  <c r="L157" i="6"/>
  <c r="M157" i="6" s="1"/>
  <c r="L173" i="6"/>
  <c r="M173" i="6" s="1"/>
  <c r="Y173" i="6" s="1"/>
  <c r="AA173" i="6" s="1"/>
  <c r="L189" i="6"/>
  <c r="M189" i="6" s="1"/>
  <c r="Y189" i="6" s="1"/>
  <c r="AA189" i="6" s="1"/>
  <c r="X195" i="6"/>
  <c r="C203" i="6"/>
  <c r="J203" i="6" s="1"/>
  <c r="O203" i="6" s="1"/>
  <c r="AC203" i="6" s="1"/>
  <c r="X170" i="6"/>
  <c r="X186" i="6"/>
  <c r="H201" i="6"/>
  <c r="D203" i="6"/>
  <c r="K203" i="6" s="1"/>
  <c r="W203" i="6" s="1"/>
  <c r="I195" i="6"/>
  <c r="H195" i="6"/>
  <c r="K195" i="6" s="1"/>
  <c r="L197" i="6"/>
  <c r="M197" i="6" s="1"/>
  <c r="Y197" i="6" s="1"/>
  <c r="AA197" i="6" s="1"/>
  <c r="D200" i="6"/>
  <c r="K200" i="6" s="1"/>
  <c r="W200" i="6" s="1"/>
  <c r="C200" i="6"/>
  <c r="J200" i="6" s="1"/>
  <c r="E191" i="9"/>
  <c r="J191" i="9" s="1"/>
  <c r="D191" i="9"/>
  <c r="I191" i="9" s="1"/>
  <c r="D226" i="9"/>
  <c r="I226" i="9" s="1"/>
  <c r="C226" i="9"/>
  <c r="E226" i="9"/>
  <c r="J226" i="9" s="1"/>
  <c r="D242" i="9"/>
  <c r="I242" i="9" s="1"/>
  <c r="C242" i="9"/>
  <c r="E242" i="9"/>
  <c r="J242" i="9" s="1"/>
  <c r="C119" i="9"/>
  <c r="D119" i="9"/>
  <c r="I119" i="9" s="1"/>
  <c r="C215" i="9"/>
  <c r="D215" i="9"/>
  <c r="I215" i="9" s="1"/>
  <c r="D228" i="9"/>
  <c r="I228" i="9" s="1"/>
  <c r="C228" i="9"/>
  <c r="E234" i="9"/>
  <c r="J234" i="9" s="1"/>
  <c r="D234" i="9"/>
  <c r="I234" i="9" s="1"/>
  <c r="C61" i="9"/>
  <c r="C77" i="9"/>
  <c r="C93" i="9"/>
  <c r="D178" i="9"/>
  <c r="I178" i="9" s="1"/>
  <c r="C178" i="9"/>
  <c r="E178" i="9"/>
  <c r="J178" i="9" s="1"/>
  <c r="C191" i="9"/>
  <c r="C50" i="9"/>
  <c r="D61" i="9"/>
  <c r="I61" i="9" s="1"/>
  <c r="C66" i="9"/>
  <c r="D77" i="9"/>
  <c r="I77" i="9" s="1"/>
  <c r="C82" i="9"/>
  <c r="D93" i="9"/>
  <c r="I93" i="9" s="1"/>
  <c r="C98" i="9"/>
  <c r="D114" i="9"/>
  <c r="I114" i="9" s="1"/>
  <c r="K114" i="9" s="1"/>
  <c r="L114" i="9" s="1"/>
  <c r="M114" i="9" s="1"/>
  <c r="C114" i="9"/>
  <c r="E114" i="9"/>
  <c r="J114" i="9" s="1"/>
  <c r="E119" i="9"/>
  <c r="J119" i="9" s="1"/>
  <c r="C133" i="9"/>
  <c r="C152" i="9"/>
  <c r="C154" i="9"/>
  <c r="C167" i="9"/>
  <c r="D167" i="9"/>
  <c r="I167" i="9" s="1"/>
  <c r="D180" i="9"/>
  <c r="I180" i="9" s="1"/>
  <c r="C180" i="9"/>
  <c r="E215" i="9"/>
  <c r="J215" i="9" s="1"/>
  <c r="D219" i="9"/>
  <c r="I219" i="9" s="1"/>
  <c r="E221" i="9"/>
  <c r="J221" i="9" s="1"/>
  <c r="D221" i="9"/>
  <c r="I221" i="9" s="1"/>
  <c r="E228" i="9"/>
  <c r="J228" i="9" s="1"/>
  <c r="C232" i="9"/>
  <c r="C234" i="9"/>
  <c r="D50" i="9"/>
  <c r="I50" i="9" s="1"/>
  <c r="C55" i="9"/>
  <c r="D66" i="9"/>
  <c r="I66" i="9" s="1"/>
  <c r="C71" i="9"/>
  <c r="D82" i="9"/>
  <c r="I82" i="9" s="1"/>
  <c r="C87" i="9"/>
  <c r="D98" i="9"/>
  <c r="I98" i="9" s="1"/>
  <c r="K98" i="9" s="1"/>
  <c r="L98" i="9" s="1"/>
  <c r="M98" i="9" s="1"/>
  <c r="C103" i="9"/>
  <c r="D133" i="9"/>
  <c r="I133" i="9" s="1"/>
  <c r="D152" i="9"/>
  <c r="I152" i="9" s="1"/>
  <c r="D154" i="9"/>
  <c r="I154" i="9" s="1"/>
  <c r="D217" i="9"/>
  <c r="I217" i="9" s="1"/>
  <c r="E219" i="9"/>
  <c r="J219" i="9" s="1"/>
  <c r="E223" i="9"/>
  <c r="J223" i="9" s="1"/>
  <c r="D223" i="9"/>
  <c r="I223" i="9" s="1"/>
  <c r="D232" i="9"/>
  <c r="I232" i="9" s="1"/>
  <c r="D55" i="9"/>
  <c r="I55" i="9" s="1"/>
  <c r="C60" i="9"/>
  <c r="D71" i="9"/>
  <c r="I71" i="9" s="1"/>
  <c r="C76" i="9"/>
  <c r="D87" i="9"/>
  <c r="I87" i="9" s="1"/>
  <c r="C92" i="9"/>
  <c r="D103" i="9"/>
  <c r="I103" i="9" s="1"/>
  <c r="C108" i="9"/>
  <c r="E111" i="9"/>
  <c r="J111" i="9" s="1"/>
  <c r="D111" i="9"/>
  <c r="I111" i="9" s="1"/>
  <c r="D121" i="9"/>
  <c r="I121" i="9" s="1"/>
  <c r="C123" i="9"/>
  <c r="C135" i="9"/>
  <c r="D135" i="9"/>
  <c r="I135" i="9" s="1"/>
  <c r="E173" i="9"/>
  <c r="J173" i="9" s="1"/>
  <c r="D173" i="9"/>
  <c r="I173" i="9" s="1"/>
  <c r="E217" i="9"/>
  <c r="J217" i="9" s="1"/>
  <c r="C221" i="9"/>
  <c r="C49" i="9"/>
  <c r="D60" i="9"/>
  <c r="I60" i="9" s="1"/>
  <c r="K60" i="9" s="1"/>
  <c r="L60" i="9" s="1"/>
  <c r="C65" i="9"/>
  <c r="D76" i="9"/>
  <c r="I76" i="9" s="1"/>
  <c r="C81" i="9"/>
  <c r="D92" i="9"/>
  <c r="I92" i="9" s="1"/>
  <c r="C97" i="9"/>
  <c r="D108" i="9"/>
  <c r="I108" i="9" s="1"/>
  <c r="D116" i="9"/>
  <c r="I116" i="9" s="1"/>
  <c r="C116" i="9"/>
  <c r="E121" i="9"/>
  <c r="J121" i="9" s="1"/>
  <c r="D123" i="9"/>
  <c r="I123" i="9" s="1"/>
  <c r="D169" i="9"/>
  <c r="I169" i="9" s="1"/>
  <c r="E171" i="9"/>
  <c r="J171" i="9" s="1"/>
  <c r="E175" i="9"/>
  <c r="J175" i="9" s="1"/>
  <c r="D175" i="9"/>
  <c r="I175" i="9" s="1"/>
  <c r="D210" i="9"/>
  <c r="I210" i="9" s="1"/>
  <c r="C210" i="9"/>
  <c r="E210" i="9"/>
  <c r="J210" i="9" s="1"/>
  <c r="C223" i="9"/>
  <c r="D81" i="9"/>
  <c r="I81" i="9" s="1"/>
  <c r="D97" i="9"/>
  <c r="I97" i="9" s="1"/>
  <c r="E125" i="9"/>
  <c r="J125" i="9" s="1"/>
  <c r="D125" i="9"/>
  <c r="I125" i="9" s="1"/>
  <c r="D130" i="9"/>
  <c r="I130" i="9" s="1"/>
  <c r="C130" i="9"/>
  <c r="E130" i="9"/>
  <c r="J130" i="9" s="1"/>
  <c r="C149" i="9"/>
  <c r="E169" i="9"/>
  <c r="J169" i="9" s="1"/>
  <c r="C173" i="9"/>
  <c r="C199" i="9"/>
  <c r="D199" i="9"/>
  <c r="I199" i="9" s="1"/>
  <c r="D212" i="9"/>
  <c r="I212" i="9" s="1"/>
  <c r="C212" i="9"/>
  <c r="E116" i="9"/>
  <c r="J116" i="9" s="1"/>
  <c r="D162" i="9"/>
  <c r="I162" i="9" s="1"/>
  <c r="C162" i="9"/>
  <c r="E162" i="9"/>
  <c r="J162" i="9" s="1"/>
  <c r="C175" i="9"/>
  <c r="D184" i="9"/>
  <c r="I184" i="9" s="1"/>
  <c r="D186" i="9"/>
  <c r="I186" i="9" s="1"/>
  <c r="C151" i="9"/>
  <c r="D151" i="9"/>
  <c r="I151" i="9" s="1"/>
  <c r="D164" i="9"/>
  <c r="I164" i="9" s="1"/>
  <c r="C164" i="9"/>
  <c r="E205" i="9"/>
  <c r="J205" i="9" s="1"/>
  <c r="D205" i="9"/>
  <c r="I205" i="9" s="1"/>
  <c r="E237" i="9"/>
  <c r="J237" i="9" s="1"/>
  <c r="D237" i="9"/>
  <c r="I237" i="9" s="1"/>
  <c r="E239" i="9"/>
  <c r="J239" i="9" s="1"/>
  <c r="D239" i="9"/>
  <c r="I239" i="9" s="1"/>
  <c r="C239" i="9"/>
  <c r="D48" i="9"/>
  <c r="D64" i="9"/>
  <c r="I64" i="9" s="1"/>
  <c r="D80" i="9"/>
  <c r="I80" i="9" s="1"/>
  <c r="D96" i="9"/>
  <c r="I96" i="9" s="1"/>
  <c r="K96" i="9" s="1"/>
  <c r="L96" i="9" s="1"/>
  <c r="E127" i="9"/>
  <c r="J127" i="9" s="1"/>
  <c r="D127" i="9"/>
  <c r="I127" i="9" s="1"/>
  <c r="D132" i="9"/>
  <c r="I132" i="9" s="1"/>
  <c r="C132" i="9"/>
  <c r="E137" i="9"/>
  <c r="J137" i="9" s="1"/>
  <c r="D139" i="9"/>
  <c r="I139" i="9" s="1"/>
  <c r="E203" i="9"/>
  <c r="J203" i="9" s="1"/>
  <c r="E207" i="9"/>
  <c r="J207" i="9" s="1"/>
  <c r="D207" i="9"/>
  <c r="I207" i="9" s="1"/>
  <c r="C231" i="9"/>
  <c r="D231" i="9"/>
  <c r="I231" i="9" s="1"/>
  <c r="C58" i="9"/>
  <c r="C74" i="9"/>
  <c r="C90" i="9"/>
  <c r="C106" i="9"/>
  <c r="C120" i="9"/>
  <c r="E141" i="9"/>
  <c r="J141" i="9" s="1"/>
  <c r="D141" i="9"/>
  <c r="I141" i="9" s="1"/>
  <c r="D146" i="9"/>
  <c r="C146" i="9"/>
  <c r="E146" i="9"/>
  <c r="E151" i="9"/>
  <c r="J151" i="9" s="1"/>
  <c r="D155" i="9"/>
  <c r="I155" i="9" s="1"/>
  <c r="E157" i="9"/>
  <c r="J157" i="9" s="1"/>
  <c r="D157" i="9"/>
  <c r="I157" i="9" s="1"/>
  <c r="E164" i="9"/>
  <c r="J164" i="9" s="1"/>
  <c r="C205" i="9"/>
  <c r="C216" i="9"/>
  <c r="C218" i="9"/>
  <c r="C237" i="9"/>
  <c r="C47" i="9"/>
  <c r="D58" i="9"/>
  <c r="I58" i="9" s="1"/>
  <c r="K58" i="9" s="1"/>
  <c r="L58" i="9" s="1"/>
  <c r="C63" i="9"/>
  <c r="D74" i="9"/>
  <c r="I74" i="9" s="1"/>
  <c r="C79" i="9"/>
  <c r="D90" i="9"/>
  <c r="I90" i="9" s="1"/>
  <c r="C95" i="9"/>
  <c r="D106" i="9"/>
  <c r="I106" i="9" s="1"/>
  <c r="D120" i="9"/>
  <c r="I120" i="9" s="1"/>
  <c r="C127" i="9"/>
  <c r="E132" i="9"/>
  <c r="J132" i="9" s="1"/>
  <c r="D153" i="9"/>
  <c r="I153" i="9" s="1"/>
  <c r="E155" i="9"/>
  <c r="J155" i="9" s="1"/>
  <c r="E159" i="9"/>
  <c r="J159" i="9" s="1"/>
  <c r="D159" i="9"/>
  <c r="I159" i="9" s="1"/>
  <c r="D194" i="9"/>
  <c r="I194" i="9" s="1"/>
  <c r="C194" i="9"/>
  <c r="E194" i="9"/>
  <c r="J194" i="9" s="1"/>
  <c r="C207" i="9"/>
  <c r="D216" i="9"/>
  <c r="I216" i="9" s="1"/>
  <c r="D218" i="9"/>
  <c r="I218" i="9" s="1"/>
  <c r="E231" i="9"/>
  <c r="J231" i="9" s="1"/>
  <c r="C183" i="9"/>
  <c r="D183" i="9"/>
  <c r="I183" i="9" s="1"/>
  <c r="D196" i="9"/>
  <c r="I196" i="9" s="1"/>
  <c r="C196" i="9"/>
  <c r="D52" i="9"/>
  <c r="I52" i="9" s="1"/>
  <c r="K52" i="9" s="1"/>
  <c r="L52" i="9" s="1"/>
  <c r="M52" i="9" s="1"/>
  <c r="D68" i="9"/>
  <c r="I68" i="9" s="1"/>
  <c r="D84" i="9"/>
  <c r="I84" i="9" s="1"/>
  <c r="D100" i="9"/>
  <c r="I100" i="9" s="1"/>
  <c r="D110" i="9"/>
  <c r="I110" i="9" s="1"/>
  <c r="D122" i="9"/>
  <c r="I122" i="9" s="1"/>
  <c r="E143" i="9"/>
  <c r="J143" i="9" s="1"/>
  <c r="D143" i="9"/>
  <c r="I143" i="9" s="1"/>
  <c r="D148" i="9"/>
  <c r="I148" i="9" s="1"/>
  <c r="C148" i="9"/>
  <c r="C159" i="9"/>
  <c r="D168" i="9"/>
  <c r="I168" i="9" s="1"/>
  <c r="D170" i="9"/>
  <c r="I170" i="9" s="1"/>
  <c r="C136" i="9"/>
  <c r="E183" i="9"/>
  <c r="J183" i="9" s="1"/>
  <c r="D187" i="9"/>
  <c r="I187" i="9" s="1"/>
  <c r="E189" i="9"/>
  <c r="J189" i="9" s="1"/>
  <c r="D189" i="9"/>
  <c r="I189" i="9" s="1"/>
  <c r="E196" i="9"/>
  <c r="J196" i="9" s="1"/>
  <c r="C124" i="9"/>
  <c r="C140" i="9"/>
  <c r="C156" i="9"/>
  <c r="C172" i="9"/>
  <c r="C188" i="9"/>
  <c r="C204" i="9"/>
  <c r="C220" i="9"/>
  <c r="C236" i="9"/>
  <c r="D161" i="9"/>
  <c r="I161" i="9" s="1"/>
  <c r="C166" i="9"/>
  <c r="D177" i="9"/>
  <c r="I177" i="9" s="1"/>
  <c r="C182" i="9"/>
  <c r="D193" i="9"/>
  <c r="I193" i="9" s="1"/>
  <c r="C198" i="9"/>
  <c r="D209" i="9"/>
  <c r="I209" i="9" s="1"/>
  <c r="C214" i="9"/>
  <c r="D225" i="9"/>
  <c r="I225" i="9" s="1"/>
  <c r="C230" i="9"/>
  <c r="D241" i="9"/>
  <c r="I241" i="9" s="1"/>
  <c r="C245" i="9"/>
  <c r="D245" i="9"/>
  <c r="I245" i="9" s="1"/>
  <c r="C244" i="9"/>
  <c r="AB101" i="6" l="1"/>
  <c r="W36" i="6"/>
  <c r="AB36" i="6" s="1"/>
  <c r="O36" i="6"/>
  <c r="AC36" i="6" s="1"/>
  <c r="C20" i="7"/>
  <c r="W9" i="6"/>
  <c r="O9" i="6"/>
  <c r="AC9" i="6" s="1"/>
  <c r="W72" i="6"/>
  <c r="AB72" i="6" s="1"/>
  <c r="O72" i="6"/>
  <c r="AC72" i="6" s="1"/>
  <c r="W121" i="6"/>
  <c r="O121" i="6"/>
  <c r="AC121" i="6" s="1"/>
  <c r="O31" i="6"/>
  <c r="AC31" i="6" s="1"/>
  <c r="W31" i="6"/>
  <c r="AB31" i="6" s="1"/>
  <c r="W77" i="6"/>
  <c r="AB77" i="6" s="1"/>
  <c r="O77" i="6"/>
  <c r="AC77" i="6" s="1"/>
  <c r="W110" i="6"/>
  <c r="AB110" i="6" s="1"/>
  <c r="O110" i="6"/>
  <c r="AC110" i="6" s="1"/>
  <c r="AB194" i="6"/>
  <c r="W28" i="6"/>
  <c r="AB28" i="6" s="1"/>
  <c r="O28" i="6"/>
  <c r="AC28" i="6" s="1"/>
  <c r="AB133" i="6"/>
  <c r="O119" i="6"/>
  <c r="AC119" i="6" s="1"/>
  <c r="W119" i="6"/>
  <c r="AB119" i="6" s="1"/>
  <c r="W188" i="6"/>
  <c r="O188" i="6"/>
  <c r="AC188" i="6" s="1"/>
  <c r="AB196" i="6"/>
  <c r="W103" i="6"/>
  <c r="AB103" i="6" s="1"/>
  <c r="O103" i="6"/>
  <c r="AC103" i="6" s="1"/>
  <c r="O165" i="6"/>
  <c r="AC165" i="6" s="1"/>
  <c r="W165" i="6"/>
  <c r="AB165" i="6" s="1"/>
  <c r="W91" i="6"/>
  <c r="AB91" i="6" s="1"/>
  <c r="O91" i="6"/>
  <c r="AC91" i="6" s="1"/>
  <c r="W105" i="6"/>
  <c r="AB105" i="6" s="1"/>
  <c r="O105" i="6"/>
  <c r="AC105" i="6" s="1"/>
  <c r="W138" i="6"/>
  <c r="AB138" i="6" s="1"/>
  <c r="O138" i="6"/>
  <c r="AC138" i="6" s="1"/>
  <c r="AB46" i="6"/>
  <c r="O54" i="6"/>
  <c r="AC54" i="6" s="1"/>
  <c r="C21" i="7"/>
  <c r="O120" i="6"/>
  <c r="AC120" i="6" s="1"/>
  <c r="W195" i="6"/>
  <c r="AB195" i="6" s="1"/>
  <c r="O195" i="6"/>
  <c r="AC195" i="6" s="1"/>
  <c r="M181" i="9"/>
  <c r="M202" i="9"/>
  <c r="K97" i="9"/>
  <c r="L97" i="9" s="1"/>
  <c r="M97" i="9" s="1"/>
  <c r="M184" i="9"/>
  <c r="K121" i="9"/>
  <c r="L121" i="9" s="1"/>
  <c r="M121" i="9" s="1"/>
  <c r="O184" i="6"/>
  <c r="AC184" i="6" s="1"/>
  <c r="V115" i="6"/>
  <c r="AB115" i="6" s="1"/>
  <c r="O115" i="6"/>
  <c r="AC115" i="6" s="1"/>
  <c r="O134" i="6"/>
  <c r="AC134" i="6" s="1"/>
  <c r="AB120" i="6"/>
  <c r="AB114" i="6"/>
  <c r="W54" i="6"/>
  <c r="AB54" i="6" s="1"/>
  <c r="O177" i="6"/>
  <c r="AC177" i="6" s="1"/>
  <c r="O100" i="6"/>
  <c r="AC100" i="6" s="1"/>
  <c r="O69" i="6"/>
  <c r="AC69" i="6" s="1"/>
  <c r="K187" i="6"/>
  <c r="W120" i="6"/>
  <c r="K130" i="9"/>
  <c r="L130" i="9" s="1"/>
  <c r="M130" i="9" s="1"/>
  <c r="H62" i="9"/>
  <c r="M62" i="9" s="1"/>
  <c r="E30" i="2"/>
  <c r="K137" i="9"/>
  <c r="L137" i="9" s="1"/>
  <c r="O101" i="6"/>
  <c r="AC101" i="6" s="1"/>
  <c r="K180" i="9"/>
  <c r="L180" i="9" s="1"/>
  <c r="M180" i="9" s="1"/>
  <c r="K116" i="9"/>
  <c r="L116" i="9" s="1"/>
  <c r="M116" i="9" s="1"/>
  <c r="O73" i="6"/>
  <c r="AC73" i="6" s="1"/>
  <c r="M207" i="9"/>
  <c r="V61" i="6"/>
  <c r="AB61" i="6" s="1"/>
  <c r="K242" i="9"/>
  <c r="L242" i="9" s="1"/>
  <c r="M242" i="9" s="1"/>
  <c r="K120" i="9"/>
  <c r="L120" i="9" s="1"/>
  <c r="K135" i="9"/>
  <c r="L135" i="9" s="1"/>
  <c r="M135" i="9" s="1"/>
  <c r="K122" i="9"/>
  <c r="L122" i="9" s="1"/>
  <c r="M122" i="9" s="1"/>
  <c r="AB34" i="6"/>
  <c r="K151" i="9"/>
  <c r="L151" i="9" s="1"/>
  <c r="O24" i="6"/>
  <c r="AC24" i="6" s="1"/>
  <c r="M158" i="9"/>
  <c r="AB97" i="6"/>
  <c r="H152" i="9"/>
  <c r="L20" i="2"/>
  <c r="AB136" i="6"/>
  <c r="AB145" i="6"/>
  <c r="W135" i="6"/>
  <c r="AB135" i="6" s="1"/>
  <c r="AB60" i="6"/>
  <c r="O55" i="6"/>
  <c r="AC55" i="6" s="1"/>
  <c r="C7" i="2"/>
  <c r="C24" i="9"/>
  <c r="K194" i="9"/>
  <c r="L194" i="9" s="1"/>
  <c r="M194" i="9" s="1"/>
  <c r="AB59" i="6"/>
  <c r="O102" i="6"/>
  <c r="AC102" i="6" s="1"/>
  <c r="K136" i="6"/>
  <c r="W136" i="6" s="1"/>
  <c r="M136" i="9"/>
  <c r="O83" i="6"/>
  <c r="AC83" i="6" s="1"/>
  <c r="H160" i="9"/>
  <c r="M160" i="9" s="1"/>
  <c r="L28" i="2"/>
  <c r="K16" i="6"/>
  <c r="W16" i="6" s="1"/>
  <c r="K186" i="9"/>
  <c r="L186" i="9" s="1"/>
  <c r="M186" i="9" s="1"/>
  <c r="AB26" i="6"/>
  <c r="Y157" i="6"/>
  <c r="AA157" i="6" s="1"/>
  <c r="O157" i="6"/>
  <c r="AC157" i="6" s="1"/>
  <c r="K201" i="6"/>
  <c r="W201" i="6" s="1"/>
  <c r="O148" i="6"/>
  <c r="AC148" i="6" s="1"/>
  <c r="V148" i="6"/>
  <c r="AB148" i="6" s="1"/>
  <c r="O144" i="6"/>
  <c r="AC144" i="6" s="1"/>
  <c r="O175" i="6"/>
  <c r="AC175" i="6" s="1"/>
  <c r="V175" i="6"/>
  <c r="AB175" i="6" s="1"/>
  <c r="V112" i="6"/>
  <c r="AB112" i="6" s="1"/>
  <c r="O112" i="6"/>
  <c r="AC112" i="6" s="1"/>
  <c r="W193" i="6"/>
  <c r="K239" i="9"/>
  <c r="L239" i="9" s="1"/>
  <c r="M239" i="9" s="1"/>
  <c r="AB90" i="6"/>
  <c r="V37" i="6"/>
  <c r="AB37" i="6" s="1"/>
  <c r="O37" i="6"/>
  <c r="AC37" i="6" s="1"/>
  <c r="M243" i="9"/>
  <c r="K69" i="6"/>
  <c r="W69" i="6" s="1"/>
  <c r="O97" i="6"/>
  <c r="AC97" i="6" s="1"/>
  <c r="B6" i="9"/>
  <c r="K178" i="9"/>
  <c r="L178" i="9" s="1"/>
  <c r="M178" i="9" s="1"/>
  <c r="M233" i="9"/>
  <c r="AB73" i="6"/>
  <c r="K141" i="9"/>
  <c r="L141" i="9" s="1"/>
  <c r="M141" i="9" s="1"/>
  <c r="H47" i="9"/>
  <c r="E15" i="2"/>
  <c r="AB9" i="6"/>
  <c r="K127" i="9"/>
  <c r="L127" i="9" s="1"/>
  <c r="AB71" i="6"/>
  <c r="K193" i="9"/>
  <c r="L193" i="9" s="1"/>
  <c r="M193" i="9" s="1"/>
  <c r="M138" i="9"/>
  <c r="M99" i="9"/>
  <c r="I11" i="8"/>
  <c r="B22" i="8" s="1"/>
  <c r="H156" i="9"/>
  <c r="M156" i="9" s="1"/>
  <c r="L24" i="2"/>
  <c r="M174" i="9"/>
  <c r="M179" i="9"/>
  <c r="M69" i="9"/>
  <c r="W17" i="6"/>
  <c r="AB17" i="6" s="1"/>
  <c r="O85" i="6"/>
  <c r="AC85" i="6" s="1"/>
  <c r="V85" i="6"/>
  <c r="AB85" i="6" s="1"/>
  <c r="O46" i="6"/>
  <c r="AC46" i="6" s="1"/>
  <c r="M175" i="9"/>
  <c r="I48" i="9"/>
  <c r="K48" i="9" s="1"/>
  <c r="L48" i="9" s="1"/>
  <c r="F27" i="9"/>
  <c r="F25" i="9"/>
  <c r="F26" i="9"/>
  <c r="E12" i="5"/>
  <c r="D17" i="5"/>
  <c r="E17" i="5" s="1"/>
  <c r="V82" i="6"/>
  <c r="K143" i="9"/>
  <c r="L143" i="9" s="1"/>
  <c r="K25" i="6"/>
  <c r="W25" i="6" s="1"/>
  <c r="V74" i="6"/>
  <c r="AB74" i="6" s="1"/>
  <c r="M111" i="9"/>
  <c r="W161" i="6"/>
  <c r="AB161" i="6" s="1"/>
  <c r="AB118" i="6"/>
  <c r="K57" i="6"/>
  <c r="O149" i="6"/>
  <c r="AC149" i="6" s="1"/>
  <c r="H60" i="9"/>
  <c r="M60" i="9" s="1"/>
  <c r="E28" i="2"/>
  <c r="AB22" i="6"/>
  <c r="H159" i="9"/>
  <c r="L27" i="2"/>
  <c r="K76" i="9"/>
  <c r="L76" i="9" s="1"/>
  <c r="M76" i="9" s="1"/>
  <c r="O140" i="6"/>
  <c r="AC140" i="6" s="1"/>
  <c r="V140" i="6"/>
  <c r="AB140" i="6" s="1"/>
  <c r="V153" i="6"/>
  <c r="AB153" i="6" s="1"/>
  <c r="O132" i="6"/>
  <c r="AC132" i="6" s="1"/>
  <c r="V132" i="6"/>
  <c r="AB132" i="6" s="1"/>
  <c r="O181" i="6"/>
  <c r="AC181" i="6" s="1"/>
  <c r="W143" i="6"/>
  <c r="AB143" i="6" s="1"/>
  <c r="O145" i="6"/>
  <c r="AC145" i="6" s="1"/>
  <c r="W189" i="6"/>
  <c r="AB189" i="6" s="1"/>
  <c r="AB150" i="6"/>
  <c r="AB130" i="6"/>
  <c r="O53" i="6"/>
  <c r="AC53" i="6" s="1"/>
  <c r="K67" i="6"/>
  <c r="K113" i="6"/>
  <c r="V102" i="6"/>
  <c r="AB102" i="6" s="1"/>
  <c r="C6" i="9"/>
  <c r="V183" i="6"/>
  <c r="AB183" i="6" s="1"/>
  <c r="O183" i="6"/>
  <c r="AC183" i="6" s="1"/>
  <c r="V117" i="6"/>
  <c r="AB117" i="6" s="1"/>
  <c r="K187" i="9"/>
  <c r="L187" i="9" s="1"/>
  <c r="M187" i="9" s="1"/>
  <c r="K123" i="9"/>
  <c r="L123" i="9" s="1"/>
  <c r="M123" i="9" s="1"/>
  <c r="H151" i="9"/>
  <c r="M151" i="9" s="1"/>
  <c r="L19" i="2"/>
  <c r="H165" i="9"/>
  <c r="M165" i="9" s="1"/>
  <c r="L33" i="2"/>
  <c r="AB6" i="6"/>
  <c r="K189" i="9"/>
  <c r="L189" i="9" s="1"/>
  <c r="M189" i="9" s="1"/>
  <c r="V92" i="6"/>
  <c r="AB92" i="6" s="1"/>
  <c r="K175" i="9"/>
  <c r="L175" i="9" s="1"/>
  <c r="K168" i="9"/>
  <c r="L168" i="9" s="1"/>
  <c r="K81" i="9"/>
  <c r="L81" i="9" s="1"/>
  <c r="M81" i="9" s="1"/>
  <c r="N10" i="8"/>
  <c r="M115" i="9"/>
  <c r="M140" i="9"/>
  <c r="K87" i="9"/>
  <c r="L87" i="9" s="1"/>
  <c r="M87" i="9" s="1"/>
  <c r="M63" i="9"/>
  <c r="AB95" i="6"/>
  <c r="V89" i="6"/>
  <c r="K129" i="6"/>
  <c r="W129" i="6" s="1"/>
  <c r="O25" i="6"/>
  <c r="AC25" i="6" s="1"/>
  <c r="V25" i="6"/>
  <c r="AB25" i="6" s="1"/>
  <c r="O8" i="6"/>
  <c r="AC8" i="6" s="1"/>
  <c r="O41" i="6"/>
  <c r="AC41" i="6" s="1"/>
  <c r="V41" i="6"/>
  <c r="AB41" i="6" s="1"/>
  <c r="AB14" i="6"/>
  <c r="V158" i="6"/>
  <c r="AB158" i="6" s="1"/>
  <c r="O158" i="6"/>
  <c r="AC158" i="6" s="1"/>
  <c r="V21" i="6"/>
  <c r="AB21" i="6" s="1"/>
  <c r="O21" i="6"/>
  <c r="AC21" i="6" s="1"/>
  <c r="M85" i="9"/>
  <c r="F24" i="9"/>
  <c r="W43" i="6"/>
  <c r="AB43" i="6" s="1"/>
  <c r="H150" i="9"/>
  <c r="M150" i="9" s="1"/>
  <c r="L18" i="2"/>
  <c r="V185" i="6"/>
  <c r="AB185" i="6" s="1"/>
  <c r="V5" i="6"/>
  <c r="O5" i="6"/>
  <c r="AC5" i="6" s="1"/>
  <c r="O40" i="6"/>
  <c r="AC40" i="6" s="1"/>
  <c r="K15" i="6"/>
  <c r="W15" i="6" s="1"/>
  <c r="J146" i="9"/>
  <c r="O200" i="6"/>
  <c r="AC200" i="6" s="1"/>
  <c r="V200" i="6"/>
  <c r="AB200" i="6" s="1"/>
  <c r="K163" i="6"/>
  <c r="W163" i="6" s="1"/>
  <c r="O172" i="6"/>
  <c r="AC172" i="6" s="1"/>
  <c r="V172" i="6"/>
  <c r="AB172" i="6" s="1"/>
  <c r="AB184" i="6"/>
  <c r="V149" i="6"/>
  <c r="AB149" i="6" s="1"/>
  <c r="O95" i="6"/>
  <c r="AC95" i="6" s="1"/>
  <c r="K76" i="6"/>
  <c r="K117" i="6"/>
  <c r="W117" i="6" s="1"/>
  <c r="V111" i="6"/>
  <c r="AB111" i="6" s="1"/>
  <c r="K38" i="6"/>
  <c r="W38" i="6" s="1"/>
  <c r="AB38" i="6" s="1"/>
  <c r="W70" i="6"/>
  <c r="AB70" i="6" s="1"/>
  <c r="K89" i="6"/>
  <c r="W89" i="6" s="1"/>
  <c r="B7" i="9"/>
  <c r="O131" i="6"/>
  <c r="AC131" i="6" s="1"/>
  <c r="V131" i="6"/>
  <c r="AB131" i="6" s="1"/>
  <c r="O22" i="6"/>
  <c r="AC22" i="6" s="1"/>
  <c r="M201" i="9"/>
  <c r="AB99" i="6"/>
  <c r="O15" i="6"/>
  <c r="AC15" i="6" s="1"/>
  <c r="M169" i="9"/>
  <c r="M134" i="9"/>
  <c r="M95" i="9"/>
  <c r="V45" i="6"/>
  <c r="AB45" i="6" s="1"/>
  <c r="K223" i="9"/>
  <c r="L223" i="9" s="1"/>
  <c r="M223" i="9" s="1"/>
  <c r="M120" i="9"/>
  <c r="AB66" i="6"/>
  <c r="M199" i="9"/>
  <c r="M80" i="9"/>
  <c r="O194" i="6"/>
  <c r="AC194" i="6" s="1"/>
  <c r="AB188" i="6"/>
  <c r="V129" i="6"/>
  <c r="AB129" i="6" s="1"/>
  <c r="M218" i="9"/>
  <c r="H51" i="9"/>
  <c r="M51" i="9" s="1"/>
  <c r="E19" i="2"/>
  <c r="C5" i="2"/>
  <c r="AB186" i="6"/>
  <c r="AB177" i="6"/>
  <c r="AB137" i="6"/>
  <c r="O136" i="6"/>
  <c r="AC136" i="6" s="1"/>
  <c r="H56" i="9"/>
  <c r="M56" i="9" s="1"/>
  <c r="E24" i="2"/>
  <c r="AB83" i="6"/>
  <c r="AB181" i="6"/>
  <c r="E7" i="9"/>
  <c r="F6" i="9"/>
  <c r="E6" i="9"/>
  <c r="F7" i="9"/>
  <c r="O180" i="6"/>
  <c r="AC180" i="6" s="1"/>
  <c r="AB134" i="6"/>
  <c r="O171" i="6"/>
  <c r="AC171" i="6" s="1"/>
  <c r="W155" i="6"/>
  <c r="AB155" i="6" s="1"/>
  <c r="O104" i="6"/>
  <c r="AC104" i="6" s="1"/>
  <c r="O29" i="6"/>
  <c r="AC29" i="6" s="1"/>
  <c r="K234" i="9"/>
  <c r="L234" i="9" s="1"/>
  <c r="M234" i="9" s="1"/>
  <c r="K111" i="6"/>
  <c r="W111" i="6" s="1"/>
  <c r="O30" i="6"/>
  <c r="AC30" i="6" s="1"/>
  <c r="K82" i="6"/>
  <c r="W82" i="6" s="1"/>
  <c r="O108" i="6"/>
  <c r="AC108" i="6" s="1"/>
  <c r="V108" i="6"/>
  <c r="AB108" i="6" s="1"/>
  <c r="C7" i="9"/>
  <c r="M117" i="9"/>
  <c r="V64" i="6"/>
  <c r="AB64" i="6" s="1"/>
  <c r="AB19" i="6"/>
  <c r="K228" i="9"/>
  <c r="L228" i="9" s="1"/>
  <c r="M228" i="9" s="1"/>
  <c r="K164" i="9"/>
  <c r="L164" i="9" s="1"/>
  <c r="M164" i="9" s="1"/>
  <c r="K100" i="9"/>
  <c r="L100" i="9" s="1"/>
  <c r="M100" i="9" s="1"/>
  <c r="K77" i="9"/>
  <c r="L77" i="9" s="1"/>
  <c r="M77" i="9" s="1"/>
  <c r="M143" i="9"/>
  <c r="M168" i="9"/>
  <c r="K47" i="9"/>
  <c r="L47" i="9" s="1"/>
  <c r="V8" i="6"/>
  <c r="AB8" i="6" s="1"/>
  <c r="M74" i="9"/>
  <c r="K90" i="9"/>
  <c r="L90" i="9" s="1"/>
  <c r="M90" i="9" s="1"/>
  <c r="I9" i="8"/>
  <c r="H46" i="9"/>
  <c r="E14" i="2"/>
  <c r="B5" i="2"/>
  <c r="B7" i="2"/>
  <c r="B6" i="2"/>
  <c r="K119" i="9"/>
  <c r="L119" i="9" s="1"/>
  <c r="M119" i="9" s="1"/>
  <c r="O60" i="6"/>
  <c r="AC60" i="6" s="1"/>
  <c r="W60" i="6"/>
  <c r="K170" i="9"/>
  <c r="L170" i="9" s="1"/>
  <c r="H57" i="9"/>
  <c r="M57" i="9" s="1"/>
  <c r="E25" i="2"/>
  <c r="H149" i="9"/>
  <c r="M149" i="9" s="1"/>
  <c r="L17" i="2"/>
  <c r="H147" i="9"/>
  <c r="L15" i="2"/>
  <c r="O50" i="6"/>
  <c r="AC50" i="6" s="1"/>
  <c r="K92" i="9"/>
  <c r="L92" i="9" s="1"/>
  <c r="M92" i="9" s="1"/>
  <c r="V50" i="6"/>
  <c r="AB50" i="6" s="1"/>
  <c r="C6" i="2"/>
  <c r="M217" i="9"/>
  <c r="AB170" i="6"/>
  <c r="AB180" i="6"/>
  <c r="O196" i="6"/>
  <c r="AC196" i="6" s="1"/>
  <c r="M215" i="9"/>
  <c r="V142" i="6"/>
  <c r="AB142" i="6" s="1"/>
  <c r="O179" i="6"/>
  <c r="AC179" i="6" s="1"/>
  <c r="V179" i="6"/>
  <c r="AB179" i="6" s="1"/>
  <c r="V198" i="6"/>
  <c r="I146" i="9"/>
  <c r="K146" i="9" s="1"/>
  <c r="L146" i="9" s="1"/>
  <c r="E25" i="9"/>
  <c r="V190" i="6"/>
  <c r="AB190" i="6" s="1"/>
  <c r="O190" i="6"/>
  <c r="AC190" i="6" s="1"/>
  <c r="O126" i="6"/>
  <c r="AC126" i="6" s="1"/>
  <c r="O128" i="6"/>
  <c r="AC128" i="6" s="1"/>
  <c r="K202" i="6"/>
  <c r="W202" i="6" s="1"/>
  <c r="AB202" i="6" s="1"/>
  <c r="O154" i="6"/>
  <c r="AC154" i="6" s="1"/>
  <c r="O168" i="6"/>
  <c r="AC168" i="6" s="1"/>
  <c r="K237" i="9"/>
  <c r="L237" i="9" s="1"/>
  <c r="M237" i="9" s="1"/>
  <c r="K81" i="6"/>
  <c r="W81" i="6" s="1"/>
  <c r="AB81" i="6" s="1"/>
  <c r="K94" i="6"/>
  <c r="W94" i="6" s="1"/>
  <c r="O81" i="6"/>
  <c r="AC81" i="6" s="1"/>
  <c r="V96" i="6"/>
  <c r="AB96" i="6" s="1"/>
  <c r="K226" i="9"/>
  <c r="L226" i="9" s="1"/>
  <c r="M226" i="9" s="1"/>
  <c r="K162" i="9"/>
  <c r="L162" i="9" s="1"/>
  <c r="M162" i="9" s="1"/>
  <c r="O80" i="6"/>
  <c r="AC80" i="6" s="1"/>
  <c r="O18" i="6"/>
  <c r="AC18" i="6" s="1"/>
  <c r="M230" i="9"/>
  <c r="M191" i="9"/>
  <c r="K216" i="9"/>
  <c r="L216" i="9" s="1"/>
  <c r="M216" i="9" s="1"/>
  <c r="N15" i="8"/>
  <c r="O58" i="6"/>
  <c r="AC58" i="6" s="1"/>
  <c r="V58" i="6"/>
  <c r="AB58" i="6" s="1"/>
  <c r="H163" i="9"/>
  <c r="M163" i="9" s="1"/>
  <c r="L31" i="2"/>
  <c r="K106" i="9"/>
  <c r="L106" i="9" s="1"/>
  <c r="M142" i="9"/>
  <c r="K55" i="9"/>
  <c r="L55" i="9" s="1"/>
  <c r="C30" i="9" s="1"/>
  <c r="O6" i="6"/>
  <c r="AC6" i="6" s="1"/>
  <c r="AB63" i="6"/>
  <c r="O44" i="6"/>
  <c r="AC44" i="6" s="1"/>
  <c r="V44" i="6"/>
  <c r="AB44" i="6" s="1"/>
  <c r="K61" i="9"/>
  <c r="L61" i="9" s="1"/>
  <c r="M61" i="9" s="1"/>
  <c r="M127" i="9"/>
  <c r="W162" i="6"/>
  <c r="AB162" i="6" s="1"/>
  <c r="O162" i="6"/>
  <c r="AC162" i="6" s="1"/>
  <c r="O163" i="6"/>
  <c r="AC163" i="6" s="1"/>
  <c r="V163" i="6"/>
  <c r="AB163" i="6" s="1"/>
  <c r="AB144" i="6"/>
  <c r="AB104" i="6"/>
  <c r="AB94" i="6"/>
  <c r="O33" i="6"/>
  <c r="AC33" i="6" s="1"/>
  <c r="V33" i="6"/>
  <c r="AB33" i="6" s="1"/>
  <c r="O127" i="6"/>
  <c r="AC127" i="6" s="1"/>
  <c r="V127" i="6"/>
  <c r="AB127" i="6" s="1"/>
  <c r="H154" i="9"/>
  <c r="M154" i="9" s="1"/>
  <c r="L22" i="2"/>
  <c r="O63" i="6"/>
  <c r="AC63" i="6" s="1"/>
  <c r="K169" i="6"/>
  <c r="K125" i="6"/>
  <c r="W125" i="6" s="1"/>
  <c r="AB125" i="6" s="1"/>
  <c r="V141" i="6"/>
  <c r="AB199" i="6"/>
  <c r="K190" i="6"/>
  <c r="W190" i="6" s="1"/>
  <c r="V87" i="6"/>
  <c r="AB87" i="6" s="1"/>
  <c r="K171" i="9"/>
  <c r="L171" i="9" s="1"/>
  <c r="M171" i="9" s="1"/>
  <c r="K110" i="9"/>
  <c r="L110" i="9" s="1"/>
  <c r="M110" i="9" s="1"/>
  <c r="K125" i="9"/>
  <c r="L125" i="9" s="1"/>
  <c r="M125" i="9" s="1"/>
  <c r="V16" i="6"/>
  <c r="AB16" i="6" s="1"/>
  <c r="K183" i="9"/>
  <c r="L183" i="9" s="1"/>
  <c r="M183" i="9" s="1"/>
  <c r="K153" i="9"/>
  <c r="L153" i="9" s="1"/>
  <c r="E30" i="9" s="1"/>
  <c r="K111" i="9"/>
  <c r="L111" i="9" s="1"/>
  <c r="K177" i="9"/>
  <c r="L177" i="9" s="1"/>
  <c r="M177" i="9" s="1"/>
  <c r="B19" i="8"/>
  <c r="H6" i="8"/>
  <c r="K103" i="9"/>
  <c r="L103" i="9" s="1"/>
  <c r="M103" i="9" s="1"/>
  <c r="V55" i="6"/>
  <c r="AB55" i="6" s="1"/>
  <c r="K218" i="9"/>
  <c r="L218" i="9" s="1"/>
  <c r="M137" i="9"/>
  <c r="K7" i="6"/>
  <c r="W7" i="6" s="1"/>
  <c r="AB7" i="6" s="1"/>
  <c r="H48" i="9"/>
  <c r="E16" i="2"/>
  <c r="K71" i="9"/>
  <c r="L71" i="9" s="1"/>
  <c r="M71" i="9" s="1"/>
  <c r="AB15" i="6"/>
  <c r="AB30" i="6"/>
  <c r="M106" i="9"/>
  <c r="F30" i="9"/>
  <c r="W191" i="6"/>
  <c r="AB191" i="6" s="1"/>
  <c r="O191" i="6"/>
  <c r="AC191" i="6" s="1"/>
  <c r="AB157" i="6"/>
  <c r="V13" i="6"/>
  <c r="AB13" i="6" s="1"/>
  <c r="O13" i="6"/>
  <c r="AC13" i="6" s="1"/>
  <c r="V167" i="6"/>
  <c r="AB167" i="6" s="1"/>
  <c r="O167" i="6"/>
  <c r="AC167" i="6" s="1"/>
  <c r="V201" i="6"/>
  <c r="W93" i="6"/>
  <c r="AB93" i="6" s="1"/>
  <c r="O133" i="6"/>
  <c r="AC133" i="6" s="1"/>
  <c r="K141" i="6"/>
  <c r="W141" i="6" s="1"/>
  <c r="O137" i="6"/>
  <c r="AC137" i="6" s="1"/>
  <c r="O199" i="6"/>
  <c r="AC199" i="6" s="1"/>
  <c r="AB88" i="6"/>
  <c r="O38" i="6"/>
  <c r="AC38" i="6" s="1"/>
  <c r="K87" i="6"/>
  <c r="W87" i="6" s="1"/>
  <c r="F23" i="9"/>
  <c r="V116" i="6"/>
  <c r="AB116" i="6" s="1"/>
  <c r="K108" i="9"/>
  <c r="L108" i="9" s="1"/>
  <c r="M108" i="9" s="1"/>
  <c r="O98" i="6"/>
  <c r="AC98" i="6" s="1"/>
  <c r="V98" i="6"/>
  <c r="AB98" i="6" s="1"/>
  <c r="M89" i="9"/>
  <c r="AB65" i="6"/>
  <c r="O65" i="6"/>
  <c r="AC65" i="6" s="1"/>
  <c r="K80" i="9"/>
  <c r="L80" i="9" s="1"/>
  <c r="C25" i="9" s="1"/>
  <c r="K173" i="9"/>
  <c r="L173" i="9" s="1"/>
  <c r="M173" i="9" s="1"/>
  <c r="O49" i="6"/>
  <c r="AC49" i="6" s="1"/>
  <c r="V49" i="6"/>
  <c r="AB49" i="6" s="1"/>
  <c r="K159" i="9"/>
  <c r="L159" i="9" s="1"/>
  <c r="K152" i="9"/>
  <c r="L152" i="9" s="1"/>
  <c r="E24" i="9" s="1"/>
  <c r="H58" i="9"/>
  <c r="M58" i="9" s="1"/>
  <c r="E26" i="2"/>
  <c r="M167" i="9"/>
  <c r="M96" i="9"/>
  <c r="M220" i="9"/>
  <c r="AB62" i="6"/>
  <c r="O174" i="6"/>
  <c r="AC174" i="6" s="1"/>
  <c r="V174" i="6"/>
  <c r="AB174" i="6" s="1"/>
  <c r="AB203" i="6"/>
  <c r="K171" i="6"/>
  <c r="W171" i="6" s="1"/>
  <c r="AB171" i="6" s="1"/>
  <c r="O176" i="6"/>
  <c r="AC176" i="6" s="1"/>
  <c r="V176" i="6"/>
  <c r="AB176" i="6" s="1"/>
  <c r="K198" i="6"/>
  <c r="W198" i="6" s="1"/>
  <c r="AB168" i="6"/>
  <c r="M241" i="9"/>
  <c r="O151" i="6"/>
  <c r="AC151" i="6" s="1"/>
  <c r="AB164" i="6"/>
  <c r="O192" i="6"/>
  <c r="AC192" i="6" s="1"/>
  <c r="V192" i="6"/>
  <c r="AB192" i="6" s="1"/>
  <c r="O146" i="6"/>
  <c r="AC146" i="6" s="1"/>
  <c r="AB193" i="6"/>
  <c r="O160" i="6"/>
  <c r="AC160" i="6" s="1"/>
  <c r="V160" i="6"/>
  <c r="AB160" i="6" s="1"/>
  <c r="O125" i="6"/>
  <c r="AC125" i="6" s="1"/>
  <c r="H64" i="9"/>
  <c r="M64" i="9" s="1"/>
  <c r="E32" i="2"/>
  <c r="F28" i="9"/>
  <c r="AB178" i="6"/>
  <c r="F29" i="9"/>
  <c r="O164" i="6"/>
  <c r="AC164" i="6" s="1"/>
  <c r="V124" i="6"/>
  <c r="AB124" i="6" s="1"/>
  <c r="O124" i="6"/>
  <c r="AC124" i="6" s="1"/>
  <c r="V159" i="6"/>
  <c r="AB159" i="6" s="1"/>
  <c r="O159" i="6"/>
  <c r="AC159" i="6" s="1"/>
  <c r="AB121" i="6"/>
  <c r="V86" i="6"/>
  <c r="AB86" i="6" s="1"/>
  <c r="AB84" i="6"/>
  <c r="O178" i="6"/>
  <c r="AC178" i="6" s="1"/>
  <c r="Y48" i="6"/>
  <c r="AA48" i="6" s="1"/>
  <c r="AB48" i="6" s="1"/>
  <c r="K96" i="6"/>
  <c r="W96" i="6" s="1"/>
  <c r="K82" i="9"/>
  <c r="L82" i="9" s="1"/>
  <c r="M82" i="9" s="1"/>
  <c r="O56" i="6"/>
  <c r="AC56" i="6" s="1"/>
  <c r="V56" i="6"/>
  <c r="AB56" i="6" s="1"/>
  <c r="V69" i="6"/>
  <c r="AB69" i="6" s="1"/>
  <c r="K212" i="9"/>
  <c r="L212" i="9" s="1"/>
  <c r="M212" i="9" s="1"/>
  <c r="K148" i="9"/>
  <c r="L148" i="9" s="1"/>
  <c r="M148" i="9" s="1"/>
  <c r="K84" i="9"/>
  <c r="L84" i="9" s="1"/>
  <c r="M84" i="9" s="1"/>
  <c r="K221" i="9"/>
  <c r="L221" i="9" s="1"/>
  <c r="M221" i="9" s="1"/>
  <c r="M118" i="9"/>
  <c r="H53" i="9"/>
  <c r="M53" i="9" s="1"/>
  <c r="E21" i="2"/>
  <c r="K207" i="9"/>
  <c r="L207" i="9" s="1"/>
  <c r="AB24" i="6"/>
  <c r="M170" i="9"/>
  <c r="M211" i="9"/>
  <c r="K154" i="9"/>
  <c r="L154" i="9" s="1"/>
  <c r="K133" i="9"/>
  <c r="L133" i="9" s="1"/>
  <c r="M133" i="9" s="1"/>
  <c r="C29" i="9" l="1"/>
  <c r="C27" i="9"/>
  <c r="C23" i="9"/>
  <c r="C31" i="9" s="1"/>
  <c r="C35" i="9"/>
  <c r="C36" i="9"/>
  <c r="E36" i="9"/>
  <c r="E35" i="9"/>
  <c r="E34" i="9"/>
  <c r="M146" i="9"/>
  <c r="E23" i="9"/>
  <c r="E31" i="9" s="1"/>
  <c r="E28" i="9"/>
  <c r="E26" i="9"/>
  <c r="AB5" i="6"/>
  <c r="C18" i="7"/>
  <c r="O57" i="6"/>
  <c r="AC57" i="6" s="1"/>
  <c r="W57" i="6"/>
  <c r="B26" i="9"/>
  <c r="C26" i="9"/>
  <c r="B8" i="2"/>
  <c r="E8" i="9"/>
  <c r="E9" i="9" s="1"/>
  <c r="E29" i="9"/>
  <c r="D28" i="9"/>
  <c r="D23" i="9"/>
  <c r="D27" i="9"/>
  <c r="E27" i="9"/>
  <c r="D26" i="9"/>
  <c r="O96" i="6"/>
  <c r="AC96" i="6" s="1"/>
  <c r="M46" i="9"/>
  <c r="B36" i="9"/>
  <c r="B35" i="9"/>
  <c r="B34" i="9"/>
  <c r="B27" i="9"/>
  <c r="B30" i="9"/>
  <c r="B8" i="9"/>
  <c r="B9" i="9" s="1"/>
  <c r="B10" i="9"/>
  <c r="B11" i="9" s="1"/>
  <c r="B23" i="9"/>
  <c r="M147" i="9"/>
  <c r="D35" i="9"/>
  <c r="D36" i="9"/>
  <c r="D34" i="9"/>
  <c r="O94" i="6"/>
  <c r="AC94" i="6" s="1"/>
  <c r="AB198" i="6"/>
  <c r="C8" i="9"/>
  <c r="C9" i="9" s="1"/>
  <c r="O198" i="6"/>
  <c r="AC198" i="6" s="1"/>
  <c r="F8" i="9"/>
  <c r="F9" i="9" s="1"/>
  <c r="M47" i="9"/>
  <c r="B28" i="9"/>
  <c r="AB201" i="6"/>
  <c r="C8" i="2"/>
  <c r="O87" i="6"/>
  <c r="AC87" i="6" s="1"/>
  <c r="F10" i="9"/>
  <c r="F11" i="9" s="1"/>
  <c r="M55" i="9"/>
  <c r="O16" i="6"/>
  <c r="AC16" i="6" s="1"/>
  <c r="O111" i="6"/>
  <c r="AC111" i="6" s="1"/>
  <c r="D29" i="9"/>
  <c r="B24" i="9"/>
  <c r="W113" i="6"/>
  <c r="AB113" i="6" s="1"/>
  <c r="O113" i="6"/>
  <c r="AC113" i="6" s="1"/>
  <c r="AB82" i="6"/>
  <c r="M152" i="9"/>
  <c r="B21" i="8"/>
  <c r="B23" i="8" s="1"/>
  <c r="B20" i="8"/>
  <c r="D30" i="9"/>
  <c r="AB89" i="6"/>
  <c r="O67" i="6"/>
  <c r="AC67" i="6" s="1"/>
  <c r="W67" i="6"/>
  <c r="AB67" i="6" s="1"/>
  <c r="O82" i="6"/>
  <c r="AC82" i="6" s="1"/>
  <c r="O141" i="6"/>
  <c r="AC141" i="6" s="1"/>
  <c r="M153" i="9"/>
  <c r="E10" i="9"/>
  <c r="E11" i="9" s="1"/>
  <c r="G11" i="9" s="1"/>
  <c r="C10" i="2" s="1"/>
  <c r="O89" i="6"/>
  <c r="AC89" i="6" s="1"/>
  <c r="O117" i="6"/>
  <c r="AC117" i="6" s="1"/>
  <c r="D24" i="9"/>
  <c r="O129" i="6"/>
  <c r="AC129" i="6" s="1"/>
  <c r="O76" i="6"/>
  <c r="AC76" i="6" s="1"/>
  <c r="W76" i="6"/>
  <c r="AB76" i="6" s="1"/>
  <c r="M159" i="9"/>
  <c r="O7" i="6"/>
  <c r="AC7" i="6" s="1"/>
  <c r="C24" i="7" s="1"/>
  <c r="O201" i="6"/>
  <c r="AC201" i="6" s="1"/>
  <c r="D25" i="9"/>
  <c r="C10" i="9"/>
  <c r="C11" i="9" s="1"/>
  <c r="B25" i="9"/>
  <c r="W187" i="6"/>
  <c r="AB187" i="6" s="1"/>
  <c r="O187" i="6"/>
  <c r="AC187" i="6" s="1"/>
  <c r="M48" i="9"/>
  <c r="B29" i="9"/>
  <c r="AB141" i="6"/>
  <c r="C28" i="9"/>
  <c r="O169" i="6"/>
  <c r="AC169" i="6" s="1"/>
  <c r="W169" i="6"/>
  <c r="AB169" i="6" s="1"/>
  <c r="O202" i="6"/>
  <c r="AC202" i="6" s="1"/>
  <c r="C34" i="9"/>
  <c r="D31" i="9" l="1"/>
  <c r="B31" i="9"/>
  <c r="B20" i="9"/>
  <c r="G9" i="9"/>
  <c r="C9" i="2" s="1"/>
  <c r="D11" i="9"/>
  <c r="B10" i="2" s="1"/>
  <c r="D9" i="9"/>
  <c r="B9" i="2" s="1"/>
  <c r="AB57" i="6"/>
  <c r="C22" i="7" s="1"/>
  <c r="C26" i="7" s="1"/>
  <c r="C19" i="7"/>
</calcChain>
</file>

<file path=xl/sharedStrings.xml><?xml version="1.0" encoding="utf-8"?>
<sst xmlns="http://schemas.openxmlformats.org/spreadsheetml/2006/main" count="2735" uniqueCount="1384">
  <si>
    <t>T40  Resume screener with bias check</t>
  </si>
  <si>
    <t>Mini project | 30 marks | Build something with free LLM tools</t>
  </si>
  <si>
    <t>Task ID</t>
  </si>
  <si>
    <t>T40</t>
  </si>
  <si>
    <t>Task</t>
  </si>
  <si>
    <t>Resume screener with bias check</t>
  </si>
  <si>
    <t>Theme</t>
  </si>
  <si>
    <t>AI text analytics</t>
  </si>
  <si>
    <t>Suggested free tools</t>
  </si>
  <si>
    <t>Free tiers of ChatGPT, Gemini, Claude or Microsoft Copilot; Excel / Google Sheets to score results</t>
  </si>
  <si>
    <t>What students do</t>
  </si>
  <si>
    <t>1. Build a prompt that scores resumes against each JD with reasons.
2. Screen all 100 resumes for 2 roles.
3. Test for bias: swap names/genders on 10 resumes and compare scores.
4. Write guidelines for fair AI-assisted screening.</t>
  </si>
  <si>
    <t>Deliverables</t>
  </si>
  <si>
    <t>Scored shortlist; bias test results; guidelines; AI-use log</t>
  </si>
  <si>
    <t>Dataset in this file</t>
  </si>
  <si>
    <t>100 synthetic resumes + 5 job descriptions
- 'Resumes' sheet: 100 rows x 9 columns
- 'Job Descriptions' sheet: 5 rows x 3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</si>
  <si>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</si>
  <si>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</si>
  <si>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</si>
  <si>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</si>
  <si>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</si>
  <si>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</si>
  <si>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</si>
  <si>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</si>
  <si>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</si>
  <si>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</si>
  <si>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</si>
  <si>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</si>
  <si>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</si>
  <si>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</si>
  <si>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</si>
  <si>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</si>
  <si>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</si>
  <si>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</si>
  <si>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</si>
  <si>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</si>
  <si>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</si>
  <si>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</si>
  <si>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</si>
  <si>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</si>
  <si>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</si>
  <si>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</si>
  <si>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</si>
  <si>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</si>
  <si>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</si>
  <si>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</si>
  <si>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</si>
  <si>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</si>
  <si>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</si>
  <si>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</si>
  <si>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</si>
  <si>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</si>
  <si>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</si>
  <si>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</si>
  <si>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</si>
  <si>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</si>
  <si>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</si>
  <si>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</si>
  <si>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</si>
  <si>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</si>
  <si>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</si>
  <si>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</si>
  <si>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Shortlist summary for the hiring managers</t>
  </si>
  <si>
    <t>Live view of Scored Shortlist. Change the cut-offs on Scoring Prompt and everything here updates.</t>
  </si>
  <si>
    <t>Decision</t>
  </si>
  <si>
    <t>JD3 Financial Analyst</t>
  </si>
  <si>
    <t>JD5 PM - Fintech</t>
  </si>
  <si>
    <t>Shortlist</t>
  </si>
  <si>
    <t>Review</t>
  </si>
  <si>
    <t>Not shortlisted</t>
  </si>
  <si>
    <t>Gender AIR at shortlist</t>
  </si>
  <si>
    <t>Gender AIR at shortlist + review</t>
  </si>
  <si>
    <t>JD3 Financial Analyst - top 20 by score</t>
  </si>
  <si>
    <t>JD5 Product Manager - Fintech - top 20 by score</t>
  </si>
  <si>
    <t>rank</t>
  </si>
  <si>
    <t>candidate_id</t>
  </si>
  <si>
    <t>name</t>
  </si>
  <si>
    <t>total</t>
  </si>
  <si>
    <t>decision</t>
  </si>
  <si>
    <t>why (AI reason)</t>
  </si>
  <si>
    <t>Scored shortlist - 100 resumes x 2 roles (JD3 Financial Analyst, JD5 Product Manager - Fintech)</t>
  </si>
  <si>
    <t>Blue = AI output pasted from the v3.1 prompt. Black = Excel formula. Sorted by role, then total score. Filter column J for Shortlist / Review.</t>
  </si>
  <si>
    <t>name (added after scoring)</t>
  </si>
  <si>
    <t>jd_id</t>
  </si>
  <si>
    <t>role</t>
  </si>
  <si>
    <t>qual_pts (0-25)</t>
  </si>
  <si>
    <t>exp_pts (0-25)</t>
  </si>
  <si>
    <t>skill_pts (0-40)</t>
  </si>
  <si>
    <t>ach_pts (0-10)</t>
  </si>
  <si>
    <t>total (0-100)</t>
  </si>
  <si>
    <t>rank in role</t>
  </si>
  <si>
    <t>decision note</t>
  </si>
  <si>
    <t>partial credit used (AI)</t>
  </si>
  <si>
    <t>reason (AI)</t>
  </si>
  <si>
    <t>interview probes (AI)</t>
  </si>
  <si>
    <t>lookup key</t>
  </si>
  <si>
    <t>CV051</t>
  </si>
  <si>
    <t>JD3</t>
  </si>
  <si>
    <t>Power BI &lt;- Tableau listed (equivalent BI tool)</t>
  </si>
  <si>
    <t>Strengths: right degree, experience in band. Qualification: CA meets requirement (25/25). Experience: 3.4 yrs, inside 2-4 band (25/25). Skills (20/40): has Excel, valuation; partial: Power BI &lt;- Tableau listed (equivalent BI tool); missing financial modelling, variance analysis. Achievement: led 5-member campus marketing team (3/10).</t>
  </si>
  <si>
    <t>test financial modelling, variance analysis; confirm Power BI (partial credit)</t>
  </si>
  <si>
    <t>CV019</t>
  </si>
  <si>
    <t>Power BI &lt;- Power BI used in achievement</t>
  </si>
  <si>
    <t>Strengths: right degree, experience in band, role-relevant achievement. Qualification: MBA Finance meets requirement (25/25). Experience: 3.5 yrs, inside 2-4 band (25/25). Skills (12/40): has Excel; partial: Power BI &lt;- Power BI used in achievement; missing financial modelling, valuation, variance analysis. Achievement: Power BI dashboard for 30 managers (10/10).</t>
  </si>
  <si>
    <t>test financial modelling, valuation, variance analysis; confirm Power BI (partial credit)</t>
  </si>
  <si>
    <t>CV025</t>
  </si>
  <si>
    <t>Strengths: right degree. Gaps: over-experienced for band. Qualification: MBA Finance meets requirement (25/25). Experience: 5.5 yrs, 1.5 above 2-4 band (20/25). Skills (20/40): has financial modelling, valuation; partial: Power BI &lt;- Tableau listed (equivalent BI tool); missing Excel, variance analysis. Achievement: 120 hires in a year (3/10).</t>
  </si>
  <si>
    <t>test Excel, variance analysis; confirm Power BI (partial credit); check fit/expectations given seniority</t>
  </si>
  <si>
    <t>CV055</t>
  </si>
  <si>
    <t>Strengths: right degree, role-relevant achievement. Gaps: over-experienced for band. Qualification: CA meets requirement (25/25). Experience: 7.3 yrs, 3.3 above 2-4 band (12/25). Skills (20/40): has Excel, valuation; partial: Power BI &lt;- Tableau listed (equivalent BI tool); missing financial modelling, variance analysis. Achievement: cut reporting time 40% via Excel automation (10/10).</t>
  </si>
  <si>
    <t>test financial modelling, variance analysis; confirm Power BI (partial credit); check fit/expectations given seniority</t>
  </si>
  <si>
    <t>CV099</t>
  </si>
  <si>
    <t>Strengths: right degree, role-relevant achievement. Gaps: over-experienced for band. Qualification: MBA Finance meets requirement (25/25). Experience: 4.5 yrs, 0.5 above 2-4 band (20/25). Skills (12/40): has Excel; partial: Power BI &lt;- Tableau listed (equivalent BI tool); missing financial modelling, valuation, variance analysis. Achievement: cut reporting time 40% via Excel automation (10/10).</t>
  </si>
  <si>
    <t>test financial modelling, valuation, variance analysis; confirm Power BI (partial credit); check fit/expectations given seniority</t>
  </si>
  <si>
    <t>CV040</t>
  </si>
  <si>
    <t>none</t>
  </si>
  <si>
    <t>Strengths: right degree, role-relevant achievement. Gaps: over-experienced for band, weak skill match. Qualification: MBA Finance meets requirement (25/25). Experience: 5.6 yrs, 1.6 above 2-4 band (20/25). Skills (8/40): has Power BI; missing financial modelling, Excel, valuation, variance analysis. Achievement: Power BI dashboard for 30 managers (10/10).</t>
  </si>
  <si>
    <t>test financial modelling, Excel, valuation, variance analysis; check fit/expectations given seniority</t>
  </si>
  <si>
    <t>CV052</t>
  </si>
  <si>
    <t>Power BI &lt;- Tableau listed (equivalent BI tool); Excel &lt;- Excel automation in achievement</t>
  </si>
  <si>
    <t>Strengths: experience in band, role-relevant achievement. Gaps: degree off-spec. Qualification: B.Tech + MBA partly relevant (12/25). Experience: 3.2 yrs, inside 2-4 band (25/25). Skills (16/40): has financial modelling; partial: Power BI &lt;- Tableau listed (equivalent BI tool); Excel &lt;- Excel automation in achievement; missing valuation, variance analysis. Achievement: cut reporting time 40% via Excel automation (10/10).</t>
  </si>
  <si>
    <t>test valuation, variance analysis; confirm Power BI, Excel (partial credit)</t>
  </si>
  <si>
    <t>CV089</t>
  </si>
  <si>
    <t>Strengths: experience in band, role-relevant achievement. Gaps: degree off-spec. Qualification: MBA Marketing partly relevant (12/25). Experience: 3.5 yrs, inside 2-4 band (25/25). Skills (16/40): has Excel, Power BI; missing financial modelling, valuation, variance analysis. Achievement: cut reporting time 40% via Excel automation (10/10).</t>
  </si>
  <si>
    <t>test financial modelling, valuation, variance analysis</t>
  </si>
  <si>
    <t>CV044</t>
  </si>
  <si>
    <t>Strengths: right degree, role-relevant achievement. Gaps: over-experienced for band. Qualification: CA meets requirement (25/25). Experience: 7.2 yrs, 3.2 above 2-4 band (12/25). Skills (12/40): has valuation; partial: Power BI &lt;- Power BI used in achievement; missing financial modelling, Excel, variance analysis. Achievement: Power BI dashboard for 30 managers (10/10).</t>
  </si>
  <si>
    <t>test financial modelling, Excel, variance analysis; confirm Power BI (partial credit); check fit/expectations given seniority</t>
  </si>
  <si>
    <t>CV096</t>
  </si>
  <si>
    <t>Strengths: right degree, experience in band. Gaps: weak skill match. Qualification: MBA Finance meets requirement (25/25). Experience: 2.4 yrs, inside 2-4 band (25/25). Skills (8/40): has Excel; missing financial modelling, valuation, variance analysis, Power BI. Achievement: none listed (0/10).</t>
  </si>
  <si>
    <t>test financial modelling, valuation, variance analysis, Power BI</t>
  </si>
  <si>
    <t>CV005</t>
  </si>
  <si>
    <t>Strengths: experience in band, role-relevant achievement. Gaps: degree off-spec. Qualification: BBA not the required degree (6/25). Experience: 3 yrs, inside 2-4 band (25/25). Skills (16/40): has financial modelling, Power BI; missing Excel, valuation, variance analysis. Achievement: Power BI dashboard for 30 managers (10/10).</t>
  </si>
  <si>
    <t>test Excel, valuation, variance analysis</t>
  </si>
  <si>
    <t>CV009</t>
  </si>
  <si>
    <t>Strengths: right degree. Gaps: over-experienced for band, weak skill match. Qualification: MBA Finance meets requirement (25/25). Experience: 5.8 yrs, 1.8 above 2-4 band (20/25). Skills (8/40): has valuation; missing financial modelling, Excel, variance analysis, Power BI. Achievement: vendor on-time delivery 78%-&gt;92% (4/10).</t>
  </si>
  <si>
    <t>test financial modelling, Excel, variance analysis, Power BI; check fit/expectations given seniority</t>
  </si>
  <si>
    <t>CV011</t>
  </si>
  <si>
    <t>Strengths: experience in band. Gaps: degree off-spec. Qualification: MBA Marketing partly relevant (12/25). Experience: 3.5 yrs, inside 2-4 band (25/25). Skills (16/40): has financial modelling, Power BI; missing Excel, valuation, variance analysis. Achievement: vendor on-time delivery 78%-&gt;92% (4/10).</t>
  </si>
  <si>
    <t>CV073</t>
  </si>
  <si>
    <t>Strengths: right degree. Gaps: over-experienced for band. Qualification: CA meets requirement (25/25). Experience: 7.7 yrs, 3.7 above 2-4 band (12/25). Skills (16/40): has financial modelling, Excel; missing valuation, variance analysis, Power BI. Achievement: vendor on-time delivery 78%-&gt;92% (4/10).</t>
  </si>
  <si>
    <t>test valuation, variance analysis, Power BI; check fit/expectations given seniority</t>
  </si>
  <si>
    <t>CV083</t>
  </si>
  <si>
    <t>Strengths: right degree. Gaps: over-experienced for band. Qualification: MBA Finance meets requirement (25/25). Experience: 8.9 yrs, 4.9 above 2-4 band (12/25). Skills (16/40): has valuation, Power BI; missing financial modelling, Excel, variance analysis. Achievement: led 5-member campus marketing team (3/10).</t>
  </si>
  <si>
    <t>test financial modelling, Excel, variance analysis; check fit/expectations given seniority</t>
  </si>
  <si>
    <t>CV087</t>
  </si>
  <si>
    <t>Strengths: right degree. Gaps: over-experienced for band, weak skill match. Qualification: MBA Finance meets requirement (25/25). Experience: 5.6 yrs, 1.6 above 2-4 band (20/25). Skills (8/40): has Power BI; missing financial modelling, Excel, valuation, variance analysis. Achievement: 120 hires in a year (3/10).</t>
  </si>
  <si>
    <t>CV016</t>
  </si>
  <si>
    <t>Strengths: right degree, role-relevant achievement. Gaps: over-experienced for band, weak skill match. Qualification: CA meets requirement (25/25). Experience: 6.8 yrs, 2.8 above 2-4 band (12/25). Skills (8/40): has Excel; missing financial modelling, valuation, variance analysis, Power BI. Achievement: cut reporting time 40% via Excel automation (10/10).</t>
  </si>
  <si>
    <t>test financial modelling, valuation, variance analysis, Power BI; check fit/expectations given seniority</t>
  </si>
  <si>
    <t>CV032</t>
  </si>
  <si>
    <t>Strengths: experience in band, role-relevant achievement. Gaps: degree off-spec, weak skill match. Qualification: MBA HR partly relevant (12/25). Experience: 2.3 yrs, inside 2-4 band (25/25). Skills (8/40): has none of the 5; partial: Power BI &lt;- Tableau listed (equivalent BI tool); Excel &lt;- Excel automation in achievement; missing financial modelling, valuation, variance analysis. Achievement: cut reporting time 40% via Excel automation (10/10).</t>
  </si>
  <si>
    <t>test financial modelling, valuation, variance analysis; confirm Power BI, Excel (partial credit)</t>
  </si>
  <si>
    <t>CV043</t>
  </si>
  <si>
    <t>Strengths: right degree. Gaps: under-experienced. Qualification: MBA Finance meets requirement (25/25). Experience: 1.9 yrs, 0.1 below 2-4 band (15/25). Skills (12/40): has valuation; partial: Power BI &lt;- Tableau listed (equivalent BI tool); missing financial modelling, Excel, variance analysis. Achievement: 120 hires in a year (3/10).</t>
  </si>
  <si>
    <t>test financial modelling, Excel, variance analysis; confirm Power BI (partial credit); check depth of hands-on experience</t>
  </si>
  <si>
    <t>CV022</t>
  </si>
  <si>
    <t>Strengths: role-relevant achievement. Gaps: degree off-spec, over-experienced for band. Qualification: B.Tech + MBA partly relevant (12/25). Experience: 5.8 yrs, 1.8 above 2-4 band (20/25). Skills (12/40): has financial modelling; partial: Power BI &lt;- Tableau listed (equivalent BI tool); missing Excel, valuation, variance analysis. Achievement: Power BI dashboard for 30 managers (10/10).</t>
  </si>
  <si>
    <t>test Excel, valuation, variance analysis; confirm Power BI (partial credit); check fit/expectations given seniority</t>
  </si>
  <si>
    <t>CV072</t>
  </si>
  <si>
    <t>Strengths: role-relevant achievement. Gaps: degree off-spec, over-experienced for band. Qualification: MBA Operations partly relevant (12/25). Experience: 4.8 yrs, 0.8 above 2-4 band (20/25). Skills (12/40): has financial modelling; partial: Power BI &lt;- Power BI used in achievement; missing Excel, valuation, variance analysis. Achievement: Power BI dashboard for 30 managers (10/10).</t>
  </si>
  <si>
    <t>CV015</t>
  </si>
  <si>
    <t>Strengths: right degree. Gaps: over-experienced for band. Qualification: MBA Finance meets requirement (25/25). Experience: 6.9 yrs, 2.9 above 2-4 band (12/25). Skills (16/40): has Excel, valuation; missing financial modelling, variance analysis, Power BI. Achievement: none listed (0/10).</t>
  </si>
  <si>
    <t>test financial modelling, variance analysis, Power BI; check fit/expectations given seniority</t>
  </si>
  <si>
    <t>CV039</t>
  </si>
  <si>
    <t>Strengths: right degree, experience in band. Gaps: weak skill match. Qualification: MBA Finance meets requirement (25/25). Experience: 3.5 yrs, inside 2-4 band (25/25). Skills (0/40): has none of the 5; missing financial modelling, Excel, valuation, variance analysis, Power BI. Achievement: 120 hires in a year (3/10).</t>
  </si>
  <si>
    <t>test financial modelling, Excel, valuation, variance analysis, Power BI</t>
  </si>
  <si>
    <t>CV003</t>
  </si>
  <si>
    <t>Strengths: experience in band. Gaps: degree off-spec. Qualification: B.Com not the required degree (8/25). Experience: 2.5 yrs, inside 2-4 band (25/25). Skills (16/40): has financial modelling, Power BI; missing Excel, valuation, variance analysis. Achievement: 120 hires in a year (3/10).</t>
  </si>
  <si>
    <t>CV062</t>
  </si>
  <si>
    <t>Strengths: experience in band. Gaps: degree off-spec. Qualification: MBA Operations partly relevant (12/25). Experience: 2.6 yrs, inside 2-4 band (25/25). Skills (12/40): has valuation; partial: Power BI &lt;- Tableau listed (equivalent BI tool); missing financial modelling, Excel, variance analysis. Achievement: led 5-member campus marketing team (3/10).</t>
  </si>
  <si>
    <t>test financial modelling, Excel, variance analysis; confirm Power BI (partial credit)</t>
  </si>
  <si>
    <t>CV091</t>
  </si>
  <si>
    <t>Strengths: right degree. Gaps: over-experienced for band, weak skill match. Qualification: CA meets requirement (25/25). Experience: 4.5 yrs, 0.5 above 2-4 band (20/25). Skills (4/40): has none of the 5; partial: Power BI &lt;- Tableau listed (equivalent BI tool); missing financial modelling, Excel, valuation, variance analysis. Achievement: 120 hires in a year (3/10).</t>
  </si>
  <si>
    <t>test financial modelling, Excel, valuation, variance analysis; confirm Power BI (partial credit); check fit/expectations given seniority</t>
  </si>
  <si>
    <t>CV029</t>
  </si>
  <si>
    <t>No clear strengths. Gaps: degree off-spec, over-experienced for band. Qualification: MBA Marketing partly relevant (12/25). Experience: 5.4 yrs, 1.4 above 2-4 band (20/25). Skills (16/40): has valuation, Power BI; missing financial modelling, Excel, variance analysis. Achievement: 120 hires in a year (3/10).</t>
  </si>
  <si>
    <t>CV084</t>
  </si>
  <si>
    <t>Strengths: experience in band, role-relevant achievement. Gaps: degree off-spec, weak skill match. Qualification: MBA Marketing partly relevant (12/25). Experience: 2 yrs, inside 2-4 band (25/25). Skills (4/40): has none of the 5; partial: Power BI &lt;- Power BI used in achievement; missing financial modelling, Excel, valuation, variance analysis. Achievement: Power BI dashboard for 30 managers (10/10).</t>
  </si>
  <si>
    <t>test financial modelling, Excel, valuation, variance analysis; confirm Power BI (partial credit)</t>
  </si>
  <si>
    <t>CV070</t>
  </si>
  <si>
    <t>Strengths: experience in band. Gaps: degree off-spec. Qualification: BBA not the required degree (6/25). Experience: 3.7 yrs, inside 2-4 band (25/25). Skills (16/40): has valuation, Power BI; missing financial modelling, Excel, variance analysis. Achievement: 120 hires in a year (3/10).</t>
  </si>
  <si>
    <t>test financial modelling, Excel, variance analysis</t>
  </si>
  <si>
    <t>CV077</t>
  </si>
  <si>
    <t>Strengths: experience in band. Gaps: degree off-spec. Qualification: BBA not the required degree (6/25). Experience: 2.5 yrs, inside 2-4 band (25/25). Skills (16/40): has valuation, Power BI; missing financial modelling, Excel, variance analysis. Achievement: led 5-member campus marketing team (3/10).</t>
  </si>
  <si>
    <t>CV080</t>
  </si>
  <si>
    <t>Strengths: role-relevant achievement. Gaps: degree off-spec, over-experienced for band. Qualification: B.Tech + MBA partly relevant (12/25). Experience: 6.1 yrs, 2.1 above 2-4 band (12/25). Skills (16/40): has valuation, Power BI; missing financial modelling, Excel, variance analysis. Achievement: Power BI dashboard for 30 managers (10/10).</t>
  </si>
  <si>
    <t>CV006</t>
  </si>
  <si>
    <t>Strengths: strong skill match. Gaps: degree off-spec, under-experienced. Qualification: BBA not the required degree (6/25). Experience: 1.3 yrs, 0.7 below 2-4 band (15/25). Skills (24/40): has financial modelling, Excel, Power BI; missing valuation, variance analysis. Achievement: vendor on-time delivery 78%-&gt;92% (4/10).</t>
  </si>
  <si>
    <t>test valuation, variance analysis; check depth of hands-on experience</t>
  </si>
  <si>
    <t>CV034</t>
  </si>
  <si>
    <t>Strengths: experience in band. Gaps: degree off-spec, weak skill match. Qualification: MBA Operations partly relevant (12/25). Experience: 3.4 yrs, inside 2-4 band (25/25). Skills (8/40): has Excel; missing financial modelling, valuation, variance analysis, Power BI. Achievement: vendor on-time delivery 78%-&gt;92% (4/10).</t>
  </si>
  <si>
    <t>CV036</t>
  </si>
  <si>
    <t>Strengths: experience in band, role-relevant achievement. Gaps: degree off-spec, weak skill match. Qualification: BBA not the required degree (6/25). Experience: 3.7 yrs, inside 2-4 band (25/25). Skills (8/40): has Excel; missing financial modelling, valuation, variance analysis, Power BI. Achievement: cut reporting time 40% via Excel automation (10/10).</t>
  </si>
  <si>
    <t>CV028</t>
  </si>
  <si>
    <t>No clear strengths. Gaps: degree off-spec, over-experienced for band. Qualification: MBA Operations partly relevant (12/25). Experience: 5.9 yrs, 1.9 above 2-4 band (20/25). Skills (12/40): has valuation; partial: Power BI &lt;- Tableau listed (equivalent BI tool); missing financial modelling, Excel, variance analysis. Achievement: vendor on-time delivery 78%-&gt;92% (4/10).</t>
  </si>
  <si>
    <t>CV049</t>
  </si>
  <si>
    <t>Strengths: experience in band. Gaps: degree off-spec, weak skill match. Qualification: MBA Operations partly relevant (12/25). Experience: 3.7 yrs, inside 2-4 band (25/25). Skills (8/40): has valuation; missing financial modelling, Excel, variance analysis, Power BI. Achievement: led 5-member campus marketing team (3/10).</t>
  </si>
  <si>
    <t>test financial modelling, Excel, variance analysis, Power BI</t>
  </si>
  <si>
    <t>CV065</t>
  </si>
  <si>
    <t>Strengths: right degree. Gaps: under-experienced. Qualification: MBA Finance meets requirement (25/25). Experience: 0.5 yrs, 1.5 below 2-4 band (8/25). Skills (12/40): has Excel; partial: Power BI &lt;- Tableau listed (equivalent BI tool); missing financial modelling, valuation, variance analysis. Achievement: led 5-member campus marketing team (3/10).</t>
  </si>
  <si>
    <t>test financial modelling, valuation, variance analysis; confirm Power BI (partial credit); check depth of hands-on experience</t>
  </si>
  <si>
    <t>CV090</t>
  </si>
  <si>
    <t>No clear strengths. Gaps: degree off-spec, over-experienced for band. Qualification: MBA Marketing partly relevant (12/25). Experience: 5.9 yrs, 1.9 above 2-4 band (20/25). Skills (12/40): has Excel; partial: Power BI &lt;- Tableau listed (equivalent BI tool); missing financial modelling, valuation, variance analysis. Achievement: vendor on-time delivery 78%-&gt;92% (4/10).</t>
  </si>
  <si>
    <t>CV092</t>
  </si>
  <si>
    <t>Strengths: right degree. Gaps: over-experienced for band, weak skill match. Qualification: CA meets requirement (25/25). Experience: 7.5 yrs, 3.5 above 2-4 band (12/25). Skills (8/40): has valuation; missing financial modelling, Excel, variance analysis, Power BI. Achievement: 120 hires in a year (3/10).</t>
  </si>
  <si>
    <t>CV094</t>
  </si>
  <si>
    <t>Strengths: role-relevant achievement. Gaps: degree off-spec, over-experienced for band. Qualification: BBA not the required degree (6/25). Experience: 5.3 yrs, 1.3 above 2-4 band (20/25). Skills (12/40): has Excel; partial: Power BI &lt;- Tableau listed (equivalent BI tool); missing financial modelling, valuation, variance analysis. Achievement: cut reporting time 40% via Excel automation (10/10).</t>
  </si>
  <si>
    <t>CV020</t>
  </si>
  <si>
    <t>Strengths: experience in band, role-relevant achievement. Gaps: degree off-spec, weak skill match. Qualification: B.Com not the required degree (8/25). Experience: 2.3 yrs, inside 2-4 band (25/25). Skills (4/40): has none of the 5; partial: Power BI &lt;- Power BI used in achievement; missing financial modelling, Excel, valuation, variance analysis. Achievement: Power BI dashboard for 30 managers (10/10).</t>
  </si>
  <si>
    <t>CV030</t>
  </si>
  <si>
    <t>Strengths: experience in band. Gaps: degree off-spec. Qualification: BBA not the required degree (6/25). Experience: 2.2 yrs, inside 2-4 band (25/25). Skills (16/40): has valuation, Power BI; missing financial modelling, Excel, variance analysis. Achievement: none listed (0/10).</t>
  </si>
  <si>
    <t>CV057</t>
  </si>
  <si>
    <t>No clear strengths. Gaps: degree off-spec, over-experienced for band. Qualification: MBA Operations partly relevant (12/25). Experience: 4.6 yrs, 0.6 above 2-4 band (20/25). Skills (12/40): has Excel; partial: Power BI &lt;- Tableau listed (equivalent BI tool); missing financial modelling, valuation, variance analysis. Achievement: 120 hires in a year (3/10).</t>
  </si>
  <si>
    <t>CV063</t>
  </si>
  <si>
    <t>No clear strengths. Gaps: degree off-spec, over-experienced for band. Qualification: MBA Operations partly relevant (12/25). Experience: 4.3 yrs, 0.3 above 2-4 band (20/25). Skills (12/40): has Excel; partial: Power BI &lt;- Tableau listed (equivalent BI tool); missing financial modelling, valuation, variance analysis. Achievement: 120 hires in a year (3/10).</t>
  </si>
  <si>
    <t>CV079</t>
  </si>
  <si>
    <t>Strengths: experience in band, role-relevant achievement. Gaps: degree off-spec, weak skill match. Qualification: B.Com not the required degree (8/25). Experience: 2.1 yrs, inside 2-4 band (25/25). Skills (4/40): has none of the 5; partial: Power BI &lt;- Power BI used in achievement; missing financial modelling, Excel, valuation, variance analysis. Achievement: Power BI dashboard for 30 managers (10/10).</t>
  </si>
  <si>
    <t>CV056</t>
  </si>
  <si>
    <t>Strengths: role-relevant achievement. Gaps: degree off-spec, over-experienced for band, weak skill match. Qualification: B.Tech + MBA partly relevant (12/25). Experience: 5.9 yrs, 1.9 above 2-4 band (20/25). Skills (4/40): has none of the 5; partial: Power BI &lt;- Tableau listed (equivalent BI tool); missing financial modelling, Excel, valuation, variance analysis. Achievement: Power BI dashboard for 30 managers (10/10).</t>
  </si>
  <si>
    <t>CV058</t>
  </si>
  <si>
    <t>Excel &lt;- Excel automation in achievement</t>
  </si>
  <si>
    <t>Strengths: role-relevant achievement. Gaps: degree off-spec, over-experienced for band. Qualification: MBA Operations partly relevant (12/25). Experience: 8.9 yrs, 4.9 above 2-4 band (12/25). Skills (12/40): has Power BI; partial: Excel &lt;- Excel automation in achievement; missing financial modelling, valuation, variance analysis. Achievement: cut reporting time 40% via Excel automation (10/10).</t>
  </si>
  <si>
    <t>test financial modelling, valuation, variance analysis; confirm Excel (partial credit); check fit/expectations given seniority</t>
  </si>
  <si>
    <t>CV069</t>
  </si>
  <si>
    <t>No clear strengths. Gaps: degree off-spec, under-experienced. Qualification: MBA Operations partly relevant (12/25). Experience: 1.5 yrs, 0.5 below 2-4 band (15/25). Skills (16/40): has financial modelling, valuation; missing Excel, variance analysis, Power BI. Achievement: led 5-member campus marketing team (3/10).</t>
  </si>
  <si>
    <t>test Excel, variance analysis, Power BI; check depth of hands-on experience</t>
  </si>
  <si>
    <t>CV007</t>
  </si>
  <si>
    <t>Strengths: right degree. Gaps: over-experienced for band, weak skill match. Qualification: MBA Finance meets requirement (25/25). Experience: 6.9 yrs, 2.9 above 2-4 band (12/25). Skills (8/40): has valuation; missing financial modelling, Excel, variance analysis, Power BI. Achievement: none listed (0/10).</t>
  </si>
  <si>
    <t>CV053</t>
  </si>
  <si>
    <t>Strengths: right degree. Gaps: over-experienced for band, weak skill match. Qualification: CA meets requirement (25/25). Experience: 5.4 yrs, 1.4 above 2-4 band (20/25). Skills (0/40): has none of the 5; missing financial modelling, Excel, valuation, variance analysis, Power BI. Achievement: none listed (0/10).</t>
  </si>
  <si>
    <t>test financial modelling, Excel, valuation, variance analysis, Power BI; check fit/expectations given seniority</t>
  </si>
  <si>
    <t>CV008</t>
  </si>
  <si>
    <t>Strengths: experience in band. Gaps: degree off-spec, weak skill match. Qualification: MBA HR partly relevant (12/25). Experience: 3.2 yrs, inside 2-4 band (25/25). Skills (4/40): has none of the 5; partial: Power BI &lt;- Tableau listed (equivalent BI tool); missing financial modelling, Excel, valuation, variance analysis. Achievement: 120 hires in a year (3/10).</t>
  </si>
  <si>
    <t>CV021</t>
  </si>
  <si>
    <t>Strengths: right degree. Gaps: under-experienced, weak skill match. Qualification: MBA Finance meets requirement (25/25). Experience: 0.7 yrs, 1.3 below 2-4 band (8/25). Skills (8/40): has Power BI; missing financial modelling, Excel, valuation, variance analysis. Achievement: 120 hires in a year (3/10).</t>
  </si>
  <si>
    <t>test financial modelling, Excel, valuation, variance analysis; check depth of hands-on experience</t>
  </si>
  <si>
    <t>CV085</t>
  </si>
  <si>
    <t>No clear strengths. Gaps: degree off-spec, over-experienced for band. Qualification: MBA HR partly relevant (12/25). Experience: 8.7 yrs, 4.7 above 2-4 band (12/25). Skills (20/40): has Excel, valuation; partial: Power BI &lt;- Tableau listed (equivalent BI tool); missing financial modelling, variance analysis. Achievement: none listed (0/10).</t>
  </si>
  <si>
    <t>CV013</t>
  </si>
  <si>
    <t>Strengths: experience in band. Gaps: degree off-spec, weak skill match. Qualification: BBA not the required degree (6/25). Experience: 2.8 yrs, inside 2-4 band (25/25). Skills (8/40): has valuation; missing financial modelling, Excel, variance analysis, Power BI. Achievement: vendor on-time delivery 78%-&gt;92% (4/10).</t>
  </si>
  <si>
    <t>CV042</t>
  </si>
  <si>
    <t>No clear strengths. Gaps: degree off-spec, over-experienced for band, weak skill match. Qualification: MBA Operations partly relevant (12/25). Experience: 5.5 yrs, 1.5 above 2-4 band (20/25). Skills (8/40): has financial modelling; missing Excel, valuation, variance analysis, Power BI. Achievement: 120 hires in a year (3/10).</t>
  </si>
  <si>
    <t>test Excel, valuation, variance analysis, Power BI; check fit/expectations given seniority</t>
  </si>
  <si>
    <t>CV046</t>
  </si>
  <si>
    <t>No clear strengths. Gaps: degree off-spec, over-experienced for band, weak skill match. Qualification: MBA HR partly relevant (12/25). Experience: 4.5 yrs, 0.5 above 2-4 band (20/25). Skills (8/40): has Power BI; missing financial modelling, Excel, valuation, variance analysis. Achievement: 120 hires in a year (3/10).</t>
  </si>
  <si>
    <t>CV050</t>
  </si>
  <si>
    <t>Strengths: role-relevant achievement. Gaps: degree off-spec, under-experienced. Qualification: BBA not the required degree (6/25). Experience: 1.1 yrs, 0.9 below 2-4 band (15/25). Skills (12/40): has Excel; partial: Power BI &lt;- Tableau listed (equivalent BI tool); missing financial modelling, valuation, variance analysis. Achievement: Power BI dashboard for 30 managers (10/10).</t>
  </si>
  <si>
    <t>CV054</t>
  </si>
  <si>
    <t>No clear strengths. Gaps: degree off-spec, over-experienced for band. Qualification: B.Tech + MBA partly relevant (12/25). Experience: 8.7 yrs, 4.7 above 2-4 band (12/25). Skills (16/40): has financial modelling, Excel; missing valuation, variance analysis, Power BI. Achievement: led 5-member campus marketing team (3/10).</t>
  </si>
  <si>
    <t>CV075</t>
  </si>
  <si>
    <t>No clear strengths. Gaps: degree off-spec, over-experienced for band. Qualification: MBA Marketing partly relevant (12/25). Experience: 8.2 yrs, 4.2 above 2-4 band (12/25). Skills (16/40): has Excel, valuation; missing financial modelling, variance analysis, Power BI. Achievement: 120 hires in a year (3/10).</t>
  </si>
  <si>
    <t>CV081</t>
  </si>
  <si>
    <t>No clear strengths. Gaps: degree off-spec, over-experienced for band, weak skill match. Qualification: MBA Marketing partly relevant (12/25). Experience: 4.3 yrs, 0.3 above 2-4 band (20/25). Skills (8/40): has Power BI; missing financial modelling, Excel, valuation, variance analysis. Achievement: led 5-member campus marketing team (3/10).</t>
  </si>
  <si>
    <t>CV012</t>
  </si>
  <si>
    <t>Strengths: role-relevant achievement. Gaps: degree off-spec, under-experienced. Qualification: B.Tech + MBA partly relevant (12/25). Experience: 0.7 yrs, 1.3 below 2-4 band (8/25). Skills (12/40): has Power BI; partial: Excel &lt;- Excel automation in achievement; missing financial modelling, valuation, variance analysis. Achievement: cut reporting time 40% via Excel automation (10/10).</t>
  </si>
  <si>
    <t>test financial modelling, valuation, variance analysis; confirm Excel (partial credit); check depth of hands-on experience</t>
  </si>
  <si>
    <t>CV014</t>
  </si>
  <si>
    <t>Strengths: role-relevant achievement. Gaps: degree off-spec, over-experienced for band, weak skill match. Qualification: B.Com not the required degree (8/25). Experience: 5.8 yrs, 1.8 above 2-4 band (20/25). Skills (4/40): has none of the 5; partial: Power BI &lt;- Tableau listed (equivalent BI tool); missing financial modelling, Excel, valuation, variance analysis. Achievement: Power BI dashboard for 30 managers (10/10).</t>
  </si>
  <si>
    <t>CV027</t>
  </si>
  <si>
    <t>Strengths: experience in band. Gaps: degree off-spec, weak skill match. Qualification: BBA not the required degree (6/25). Experience: 4 yrs, inside 2-4 band (25/25). Skills (8/40): has valuation; missing financial modelling, Excel, variance analysis, Power BI. Achievement: 120 hires in a year (3/10).</t>
  </si>
  <si>
    <t>CV035</t>
  </si>
  <si>
    <t>No clear strengths. Gaps: degree off-spec, under-experienced. Qualification: MBA HR partly relevant (12/25). Experience: 1.1 yrs, 0.9 below 2-4 band (15/25). Skills (12/40): has valuation; partial: Power BI &lt;- Tableau listed (equivalent BI tool); missing financial modelling, Excel, variance analysis. Achievement: 120 hires in a year (3/10).</t>
  </si>
  <si>
    <t>CV038</t>
  </si>
  <si>
    <t>Strengths: role-relevant achievement. Gaps: degree off-spec, over-experienced for band, weak skill match. Qualification: B.Com not the required degree (8/25). Experience: 4.1 yrs, 0.1 above 2-4 band (20/25). Skills (4/40): has none of the 5; partial: Power BI &lt;- Power BI used in achievement; missing financial modelling, Excel, valuation, variance analysis. Achievement: Power BI dashboard for 30 managers (10/10).</t>
  </si>
  <si>
    <t>CV060</t>
  </si>
  <si>
    <t>Strengths: experience in band. Gaps: degree off-spec, weak skill match. Qualification: BBA not the required degree (6/25). Experience: 3.1 yrs, inside 2-4 band (25/25). Skills (8/40): has Power BI; missing financial modelling, Excel, valuation, variance analysis. Achievement: 120 hires in a year (3/10).</t>
  </si>
  <si>
    <t>test financial modelling, Excel, valuation, variance analysis</t>
  </si>
  <si>
    <t>CV093</t>
  </si>
  <si>
    <t>Strengths: role-relevant achievement. Gaps: degree off-spec, over-experienced for band, weak skill match. Qualification: MBA Marketing partly relevant (12/25). Experience: 6.8 yrs, 2.8 above 2-4 band (12/25). Skills (8/40): has none of the 5; partial: Power BI &lt;- Tableau listed (equivalent BI tool); Excel &lt;- Excel automation in achievement; missing financial modelling, valuation, variance analysis. Achievement: cut reporting time 40% via Excel automation (10/10).</t>
  </si>
  <si>
    <t>test financial modelling, valuation, variance analysis; confirm Power BI, Excel (partial credit); check fit/expectations given seniority</t>
  </si>
  <si>
    <t>CV098</t>
  </si>
  <si>
    <t>No clear strengths. Gaps: degree off-spec, under-experienced. Qualification: MBA HR partly relevant (12/25). Experience: 1.8 yrs, 0.2 below 2-4 band (15/25). Skills (12/40): has financial modelling; partial: Power BI &lt;- Tableau listed (equivalent BI tool); missing Excel, valuation, variance analysis. Achievement: 120 hires in a year (3/10).</t>
  </si>
  <si>
    <t>test Excel, valuation, variance analysis; confirm Power BI (partial credit); check depth of hands-on experience</t>
  </si>
  <si>
    <t>CV023</t>
  </si>
  <si>
    <t>Strengths: right degree. Gaps: under-experienced, weak skill match. Qualification: MBA Finance meets requirement (25/25). Experience: 0.1 yrs, 1.9 below 2-4 band (8/25). Skills (8/40): has financial modelling; missing Excel, valuation, variance analysis, Power BI. Achievement: none listed (0/10).</t>
  </si>
  <si>
    <t>test Excel, valuation, variance analysis, Power BI; check depth of hands-on experience</t>
  </si>
  <si>
    <t>CV024</t>
  </si>
  <si>
    <t>No clear strengths. Gaps: degree off-spec, over-experienced for band. Qualification: BBA not the required degree (6/25). Experience: 4.4 yrs, 0.4 above 2-4 band (20/25). Skills (12/40): has valuation; partial: Power BI &lt;- Tableau listed (equivalent BI tool); missing financial modelling, Excel, variance analysis. Achievement: led 5-member campus marketing team (3/10).</t>
  </si>
  <si>
    <t>CV033</t>
  </si>
  <si>
    <t>Strengths: experience in band. Gaps: degree off-spec, weak skill match. Qualification: MBA HR partly relevant (12/25). Experience: 3.9 yrs, inside 2-4 band (25/25). Skills (0/40): has none of the 5; missing financial modelling, Excel, valuation, variance analysis, Power BI. Achievement: led 5-member campus marketing team (3/10).</t>
  </si>
  <si>
    <t>CV045</t>
  </si>
  <si>
    <t>Strengths: right degree. Gaps: under-experienced, weak skill match. Qualification: CA meets requirement (25/25). Experience: 1.7 yrs, 0.3 below 2-4 band (15/25). Skills (0/40): has none of the 5; missing financial modelling, Excel, valuation, variance analysis, Power BI. Achievement: none listed (0/10).</t>
  </si>
  <si>
    <t>test financial modelling, Excel, valuation, variance analysis, Power BI; check depth of hands-on experience</t>
  </si>
  <si>
    <t>CV086</t>
  </si>
  <si>
    <t>No clear strengths. Gaps: degree off-spec, over-experienced for band, weak skill match. Qualification: B.Tech + MBA partly relevant (12/25). Experience: 5.4 yrs, 1.4 above 2-4 band (20/25). Skills (4/40): has none of the 5; partial: Power BI &lt;- Tableau listed (equivalent BI tool); missing financial modelling, Excel, valuation, variance analysis. Achievement: vendor on-time delivery 78%-&gt;92% (4/10).</t>
  </si>
  <si>
    <t>CV097</t>
  </si>
  <si>
    <t>No clear strengths. Gaps: degree off-spec, over-experienced for band. Qualification: B.Com not the required degree (8/25). Experience: 7.9 yrs, 3.9 above 2-4 band (12/25). Skills (16/40): has financial modelling, valuation; missing Excel, variance analysis, Power BI. Achievement: vendor on-time delivery 78%-&gt;92% (4/10).</t>
  </si>
  <si>
    <t>test Excel, variance analysis, Power BI; check fit/expectations given seniority</t>
  </si>
  <si>
    <t>CV004</t>
  </si>
  <si>
    <t>No clear strengths. Gaps: degree off-spec, under-experienced, weak skill match. Qualification: B.Tech + MBA partly relevant (12/25). Experience: 1.9 yrs, 0.1 below 2-4 band (15/25). Skills (8/40): has Excel; missing financial modelling, valuation, variance analysis, Power BI. Achievement: led 5-member campus marketing team (3/10).</t>
  </si>
  <si>
    <t>test financial modelling, valuation, variance analysis, Power BI; check depth of hands-on experience</t>
  </si>
  <si>
    <t>CV041</t>
  </si>
  <si>
    <t>No clear strengths. Gaps: degree off-spec, over-experienced for band, weak skill match. Qualification: BBA not the required degree (6/25). Experience: 5.1 yrs, 1.1 above 2-4 band (20/25). Skills (8/40): has Excel; missing financial modelling, valuation, variance analysis, Power BI. Achievement: vendor on-time delivery 78%-&gt;92% (4/10).</t>
  </si>
  <si>
    <t>CV088</t>
  </si>
  <si>
    <t>No clear strengths. Gaps: degree off-spec, under-experienced. Qualification: BBA not the required degree (6/25). Experience: 1.3 yrs, 0.7 below 2-4 band (15/25). Skills (16/40): has financial modelling, valuation; missing Excel, variance analysis, Power BI. Achievement: none listed (0/10).</t>
  </si>
  <si>
    <t>CV095</t>
  </si>
  <si>
    <t>Strengths: right degree. Gaps: under-experienced, weak skill match. Qualification: CA meets requirement (25/25). Experience: 0 yrs, 2.0 below 2-4 band (8/25). Skills (0/40): has none of the 5; missing financial modelling, Excel, valuation, variance analysis, Power BI. Achievement: vendor on-time delivery 78%-&gt;92% (4/10).</t>
  </si>
  <si>
    <t>CV010</t>
  </si>
  <si>
    <t>Strengths: experience in band. Gaps: degree off-spec, weak skill match. Qualification: B.Com not the required degree (8/25). Experience: 2.6 yrs, inside 2-4 band (25/25). Skills (0/40): has none of the 5; missing financial modelling, Excel, valuation, variance analysis, Power BI. Achievement: 120 hires in a year (3/10).</t>
  </si>
  <si>
    <t>CV047</t>
  </si>
  <si>
    <t>No clear strengths. Gaps: degree off-spec, over-experienced for band, weak skill match. Qualification: MBA Operations partly relevant (12/25). Experience: 8.4 yrs, 4.4 above 2-4 band (12/25). Skills (8/40): has financial modelling; missing Excel, valuation, variance analysis, Power BI. Achievement: vendor on-time delivery 78%-&gt;92% (4/10).</t>
  </si>
  <si>
    <t>CV059</t>
  </si>
  <si>
    <t>No clear strengths. Gaps: degree off-spec, over-experienced for band, weak skill match. Qualification: B.Com not the required degree (8/25). Experience: 4.7 yrs, 0.7 above 2-4 band (20/25). Skills (8/40): has Power BI; missing financial modelling, Excel, valuation, variance analysis. Achievement: none listed (0/10).</t>
  </si>
  <si>
    <t>CV071</t>
  </si>
  <si>
    <t>No clear strengths. Gaps: degree off-spec, over-experienced for band. Qualification: B.Com not the required degree (8/25). Experience: 8.5 yrs, 4.5 above 2-4 band (12/25). Skills (16/40): has Excel, Power BI; missing financial modelling, valuation, variance analysis. Achievement: none listed (0/10).</t>
  </si>
  <si>
    <t>test financial modelling, valuation, variance analysis; check fit/expectations given seniority</t>
  </si>
  <si>
    <t>CV066</t>
  </si>
  <si>
    <t>No clear strengths. Gaps: degree off-spec, under-experienced, weak skill match. Qualification: MBA HR partly relevant (12/25). Experience: 1 yrs, 1.0 below 2-4 band (15/25). Skills (8/40): has valuation; missing financial modelling, Excel, variance analysis, Power BI. Achievement: none listed (0/10).</t>
  </si>
  <si>
    <t>test financial modelling, Excel, variance analysis, Power BI; check depth of hands-on experience</t>
  </si>
  <si>
    <t>CV018</t>
  </si>
  <si>
    <t>Strengths: role-relevant achievement. Gaps: degree off-spec, over-experienced for band, weak skill match. Qualification: B.Com not the required degree (8/25). Experience: 9 yrs, 5.0 above 2-4 band (12/25). Skills (4/40): has none of the 5; partial: Power BI &lt;- Power BI used in achievement; missing financial modelling, Excel, valuation, variance analysis. Achievement: Power BI dashboard for 30 managers (10/10).</t>
  </si>
  <si>
    <t>CV031</t>
  </si>
  <si>
    <t>Strengths: role-relevant achievement. Gaps: degree off-spec, under-experienced, weak skill match. Qualification: MBA Operations partly relevant (12/25). Experience: 0.5 yrs, 1.5 below 2-4 band (8/25). Skills (4/40): has none of the 5; partial: Power BI &lt;- Power BI used in achievement; missing financial modelling, Excel, valuation, variance analysis. Achievement: Power BI dashboard for 30 managers (10/10).</t>
  </si>
  <si>
    <t>test financial modelling, Excel, valuation, variance analysis; confirm Power BI (partial credit); check depth of hands-on experience</t>
  </si>
  <si>
    <t>CV017</t>
  </si>
  <si>
    <t>Strengths: role-relevant achievement. Gaps: degree off-spec, over-experienced for band, weak skill match. Qualification: BBA not the required degree (6/25). Experience: 7.2 yrs, 3.2 above 2-4 band (12/25). Skills (4/40): has none of the 5; partial: Excel &lt;- Excel automation in achievement; missing financial modelling, valuation, variance analysis, Power BI. Achievement: cut reporting time 40% via Excel automation (10/10).</t>
  </si>
  <si>
    <t>test financial modelling, valuation, variance analysis, Power BI; confirm Excel (partial credit); check fit/expectations given seniority</t>
  </si>
  <si>
    <t>CV064</t>
  </si>
  <si>
    <t>No clear strengths. Gaps: degree off-spec, over-experienced for band, weak skill match. Qualification: MBA Operations partly relevant (12/25). Experience: 4.7 yrs, 0.7 above 2-4 band (20/25). Skills (0/40): has none of the 5; missing financial modelling, Excel, valuation, variance analysis, Power BI. Achievement: none listed (0/10).</t>
  </si>
  <si>
    <t>CV068</t>
  </si>
  <si>
    <t>No clear strengths. Gaps: degree off-spec, under-experienced, weak skill match. Qualification: B.Tech + MBA partly relevant (12/25). Experience: 1.3 yrs, 0.7 below 2-4 band (15/25). Skills (4/40): has none of the 5; partial: Power BI &lt;- Tableau listed (equivalent BI tool); missing financial modelling, Excel, valuation, variance analysis. Achievement: none listed (0/10).</t>
  </si>
  <si>
    <t>CV002</t>
  </si>
  <si>
    <t>No clear strengths. Gaps: degree off-spec, over-experienced for band, weak skill match. Qualification: B.Com not the required degree (8/25). Experience: 8 yrs, 4.0 above 2-4 band (12/25). Skills (4/40): has none of the 5; partial: Power BI &lt;- Tableau listed (equivalent BI tool); missing financial modelling, Excel, valuation, variance analysis. Achievement: vendor on-time delivery 78%-&gt;92% (4/10).</t>
  </si>
  <si>
    <t>CV026</t>
  </si>
  <si>
    <t>No clear strengths. Gaps: degree off-spec, over-experienced for band, weak skill match. Qualification: MBA HR partly relevant (12/25). Experience: 8.5 yrs, 4.5 above 2-4 band (12/25). Skills (4/40): has none of the 5; partial: Power BI &lt;- Tableau listed (equivalent BI tool); missing financial modelling, Excel, valuation, variance analysis. Achievement: none listed (0/10).</t>
  </si>
  <si>
    <t>CV048</t>
  </si>
  <si>
    <t>No clear strengths. Gaps: degree off-spec, under-experienced, weak skill match. Qualification: BBA not the required degree (6/25). Experience: 1.1 yrs, 0.9 below 2-4 band (15/25). Skills (4/40): has none of the 5; partial: Power BI &lt;- Tableau listed (equivalent BI tool); missing financial modelling, Excel, valuation, variance analysis. Achievement: 120 hires in a year (3/10).</t>
  </si>
  <si>
    <t>CV076</t>
  </si>
  <si>
    <t>No clear strengths. Gaps: degree off-spec, over-experienced for band, weak skill match. Qualification: MBA Operations partly relevant (12/25). Experience: 8.4 yrs, 4.4 above 2-4 band (12/25). Skills (0/40): has none of the 5; missing financial modelling, Excel, valuation, variance analysis, Power BI. Achievement: vendor on-time delivery 78%-&gt;92% (4/10).</t>
  </si>
  <si>
    <t>CV001</t>
  </si>
  <si>
    <t>No clear strengths. Gaps: degree off-spec, over-experienced for band, weak skill match. Qualification: B.Tech + MBA partly relevant (12/25). Experience: 6.4 yrs, 2.4 above 2-4 band (12/25). Skills (0/40): has none of the 5; missing financial modelling, Excel, valuation, variance analysis, Power BI. Achievement: 120 hires in a year (3/10).</t>
  </si>
  <si>
    <t>CV082</t>
  </si>
  <si>
    <t>No clear strengths. Gaps: degree off-spec, under-experienced, weak skill match. Qualification: MBA Operations partly relevant (12/25). Experience: 1.3 yrs, 0.7 below 2-4 band (15/25). Skills (0/40): has none of the 5; missing financial modelling, Excel, valuation, variance analysis, Power BI. Achievement: none listed (0/10).</t>
  </si>
  <si>
    <t>CV074</t>
  </si>
  <si>
    <t>No clear strengths. Gaps: degree off-spec, over-experienced for band, weak skill match. Qualification: BBA not the required degree (6/25). Experience: 8.3 yrs, 4.3 above 2-4 band (12/25). Skills (4/40): has none of the 5; partial: Power BI &lt;- Tableau listed (equivalent BI tool); missing financial modelling, Excel, valuation, variance analysis. Achievement: vendor on-time delivery 78%-&gt;92% (4/10).</t>
  </si>
  <si>
    <t>CV078</t>
  </si>
  <si>
    <t>No clear strengths. Gaps: degree off-spec, under-experienced, weak skill match. Qualification: BBA not the required degree (6/25). Experience: 0.4 yrs, 1.6 below 2-4 band (8/25). Skills (8/40): has financial modelling; missing Excel, valuation, variance analysis, Power BI. Achievement: vendor on-time delivery 78%-&gt;92% (4/10).</t>
  </si>
  <si>
    <t>CV037</t>
  </si>
  <si>
    <t>No clear strengths. Gaps: degree off-spec, over-experienced for band, weak skill match. Qualification: BBA not the required degree (6/25). Experience: 6.6 yrs, 2.6 above 2-4 band (12/25). Skills (4/40): has none of the 5; partial: Power BI &lt;- Tableau listed (equivalent BI tool); missing financial modelling, Excel, valuation, variance analysis. Achievement: 120 hires in a year (3/10).</t>
  </si>
  <si>
    <t>CV061</t>
  </si>
  <si>
    <t>No clear strengths. Gaps: degree off-spec, under-experienced, weak skill match. Qualification: MBA Marketing partly relevant (12/25). Experience: 0.3 yrs, 1.7 below 2-4 band (8/25). Skills (0/40): has none of the 5; missing financial modelling, Excel, valuation, variance analysis, Power BI. Achievement: vendor on-time delivery 78%-&gt;92% (4/10).</t>
  </si>
  <si>
    <t>CV067</t>
  </si>
  <si>
    <t>No clear strengths. Gaps: degree off-spec, over-experienced for band, weak skill match. Qualification: MBA HR partly relevant (12/25). Experience: 8.9 yrs, 4.9 above 2-4 band (12/25). Skills (0/40): has none of the 5; missing financial modelling, Excel, valuation, variance analysis, Power BI. Achievement: none listed (0/10).</t>
  </si>
  <si>
    <t>CV100</t>
  </si>
  <si>
    <t>No clear strengths. Gaps: degree off-spec, under-experienced, weak skill match. Qualification: B.Com not the required degree (8/25). Experience: 1.6 yrs, 0.4 below 2-4 band (15/25). Skills (0/40): has none of the 5; missing financial modelling, Excel, valuation, variance analysis, Power BI. Achievement: none listed (0/10).</t>
  </si>
  <si>
    <t>JD5</t>
  </si>
  <si>
    <t>UPI/payments &lt;- domain exposure: most recently at a fintech start-up</t>
  </si>
  <si>
    <t>Strengths: right degree, experience in band, strong skill match. Qualification: B.Tech + MBA meets requirement (25/25). Experience: 5.4 yrs, inside 3-6 band (25/25). Skills (28/40): has product roadmap, SQL, agile; partial: UPI/payments &lt;- domain exposure: most recently at a fintech start-up; missing user research. Achievement: vendor on-time delivery 78%-&gt;92% (4/10).</t>
  </si>
  <si>
    <t>test user research; confirm UPI/payments (partial credit)</t>
  </si>
  <si>
    <t>Strengths: right degree, strong skill match, role-relevant achievement. Gaps: over-experienced for band. Qualification: B.Tech + MBA meets requirement (25/25). Experience: 6.1 yrs, 0.1 above 3-6 band (20/25). Skills (24/40): has user research, SQL, UPI/payments; missing product roadmap, agile. Achievement: Power BI dashboard for 30 managers (7/10).</t>
  </si>
  <si>
    <t>test product roadmap, agile; check fit/expectations given seniority</t>
  </si>
  <si>
    <t>Strengths: right degree, experience in band, role-relevant achievement. Qualification: B.Tech + MBA meets requirement (25/25). Experience: 5.9 yrs, inside 3-6 band (25/25). Skills (16/40): has product roadmap, SQL; missing user research, agile, UPI/payments. Achievement: Power BI dashboard for 30 managers (7/10).</t>
  </si>
  <si>
    <t>test user research, agile, UPI/payments</t>
  </si>
  <si>
    <t>Strengths: right degree, experience in band. Qualification: B.Tech + MBA meets requirement (25/25). Experience: 3.2 yrs, inside 3-6 band (25/25). Skills (16/40): has product roadmap, agile; missing user research, SQL, UPI/payments. Achievement: cut reporting time 40% via Excel automation (6/10).</t>
  </si>
  <si>
    <t>test user research, SQL, UPI/payments</t>
  </si>
  <si>
    <t>user research &lt;- A/B testing listed (customer-insight method)</t>
  </si>
  <si>
    <t>Strengths: experience in band, role-relevant achievement. Gaps: degree off-spec. Qualification: MBA Finance partly relevant (15/25). Experience: 5.6 yrs, inside 3-6 band (25/25). Skills (20/40): has product roadmap, agile; partial: user research &lt;- A/B testing listed (customer-insight method); missing SQL, UPI/payments. Achievement: Power BI dashboard for 30 managers (7/10).</t>
  </si>
  <si>
    <t>test SQL, UPI/payments; confirm user research (partial credit)</t>
  </si>
  <si>
    <t>Strengths: experience in band, role-relevant achievement. Gaps: degree off-spec. Qualification: MBA Finance partly relevant (15/25). Experience: 3.5 yrs, inside 3-6 band (25/25). Skills (16/40): has product roadmap, user research; missing SQL, agile, UPI/payments. Achievement: Power BI dashboard for 30 managers (7/10).</t>
  </si>
  <si>
    <t>test SQL, agile, UPI/payments</t>
  </si>
  <si>
    <t>Strengths: experience in band. Gaps: degree off-spec. Qualification: MBA Finance partly relevant (15/25). Experience: 5.8 yrs, inside 3-6 band (25/25). Skills (16/40): has product roadmap, user research; missing SQL, agile, UPI/payments. Achievement: vendor on-time delivery 78%-&gt;92% (4/10).</t>
  </si>
  <si>
    <t>Strengths: experience in band. Gaps: degree off-spec. Qualification: MBA Operations partly relevant (15/25). Experience: 4.6 yrs, inside 3-6 band (25/25). Skills (16/40): has agile, UPI/payments; missing product roadmap, user research, SQL. Achievement: 120 hires in a year (3/10).</t>
  </si>
  <si>
    <t>test product roadmap, user research, SQL</t>
  </si>
  <si>
    <t>Strengths: experience in band. Gaps: degree off-spec. Qualification: MBA Finance partly relevant (15/25). Experience: 5.6 yrs, inside 3-6 band (25/25). Skills (16/40): has user research, UPI/payments; missing product roadmap, SQL, agile. Achievement: 120 hires in a year (3/10).</t>
  </si>
  <si>
    <t>test product roadmap, SQL, agile</t>
  </si>
  <si>
    <t>Strengths: experience in band. Gaps: degree off-spec. Qualification: MBA Marketing partly relevant (15/25). Experience: 3.5 yrs, inside 3-6 band (25/25). Skills (12/40): has SQL; partial: UPI/payments &lt;- domain exposure: most recently at a fintech start-up; missing product roadmap, user research, agile. Achievement: cut reporting time 40% via Excel automation (6/10).</t>
  </si>
  <si>
    <t>test product roadmap, user research, agile; confirm UPI/payments (partial credit)</t>
  </si>
  <si>
    <t>Strengths: experience in band. Gaps: degree off-spec. Qualification: MBA Finance partly relevant (15/25). Experience: 4.5 yrs, inside 3-6 band (25/25). Skills (12/40): has agile; partial: user research &lt;- A/B testing listed (customer-insight method); missing product roadmap, SQL, UPI/payments. Achievement: cut reporting time 40% via Excel automation (6/10).</t>
  </si>
  <si>
    <t>test product roadmap, SQL, UPI/payments; confirm user research (partial credit)</t>
  </si>
  <si>
    <t>Strengths: right degree, experience in band, role-relevant achievement. Gaps: weak skill match. Qualification: B.Tech + MBA meets requirement (25/25). Experience: 5.8 yrs, inside 3-6 band (25/25). Skills (0/40): has none of the 5; missing product roadmap, user research, SQL, agile, UPI/payments. Achievement: Power BI dashboard for 30 managers (7/10).</t>
  </si>
  <si>
    <t>test product roadmap, user research, SQL, agile, UPI/payments</t>
  </si>
  <si>
    <t>No clear strengths. Gaps: degree off-spec, over-experienced for band. Qualification: MBA Marketing partly relevant (15/25). Experience: 6.8 yrs, 0.8 above 3-6 band (20/25). Skills (16/40): has agile, UPI/payments; missing product roadmap, user research, SQL. Achievement: cut reporting time 40% via Excel automation (6/10).</t>
  </si>
  <si>
    <t>test product roadmap, user research, SQL; check fit/expectations given seniority</t>
  </si>
  <si>
    <t>Strengths: experience in band. Gaps: degree off-spec. Qualification: MBA Operations partly relevant (15/25). Experience: 5.9 yrs, inside 3-6 band (25/25). Skills (12/40): has SQL; partial: user research &lt;- A/B testing listed (customer-insight method); missing product roadmap, agile, UPI/payments. Achievement: vendor on-time delivery 78%-&gt;92% (4/10).</t>
  </si>
  <si>
    <t>test product roadmap, agile, UPI/payments; confirm user research (partial credit)</t>
  </si>
  <si>
    <t>Strengths: experience in band. Gaps: degree off-spec. Qualification: MBA HR partly relevant (15/25). Experience: 3.2 yrs, inside 3-6 band (25/25). Skills (12/40): has agile; partial: UPI/payments &lt;- domain exposure: most recently at a fintech start-up; missing product roadmap, user research, SQL. Achievement: 120 hires in a year (3/10).</t>
  </si>
  <si>
    <t>test product roadmap, user research, SQL; confirm UPI/payments (partial credit)</t>
  </si>
  <si>
    <t>Strengths: experience in band. Gaps: degree off-spec. Qualification: MBA Finance partly relevant (15/25). Experience: 3.5 yrs, inside 3-6 band (25/25). Skills (12/40): has SQL; partial: user research &lt;- A/B testing listed (customer-insight method); missing product roadmap, agile, UPI/payments. Achievement: 120 hires in a year (3/10).</t>
  </si>
  <si>
    <t>Strengths: experience in band. Gaps: degree off-spec. Qualification: MBA Operations partly relevant (15/25). Experience: 4.3 yrs, inside 3-6 band (25/25). Skills (12/40): has SQL; partial: user research &lt;- A/B testing listed (customer-insight method); missing product roadmap, agile, UPI/payments. Achievement: 120 hires in a year (3/10).</t>
  </si>
  <si>
    <t>Strengths: strong skill match. Gaps: degree off-spec, over-experienced for band. Qualification: MBA HR partly relevant (15/25). Experience: 8.9 yrs, 2.9 above 3-6 band (12/25). Skills (28/40): has product roadmap, user research, SQL; partial: UPI/payments &lt;- domain exposure: most recently at a fintech start-up; missing agile. Achievement: none listed (0/10).</t>
  </si>
  <si>
    <t>test agile; confirm UPI/payments (partial credit); check fit/expectations given seniority</t>
  </si>
  <si>
    <t>Strengths: experience in band, role-relevant achievement. Gaps: degree off-spec, weak skill match. Qualification: MBA Operations partly relevant (15/25). Experience: 4.8 yrs, inside 3-6 band (25/25). Skills (8/40): has agile; missing product roadmap, user research, SQL, UPI/payments. Achievement: Power BI dashboard for 30 managers (7/10).</t>
  </si>
  <si>
    <t>test product roadmap, user research, SQL, UPI/payments</t>
  </si>
  <si>
    <t>Strengths: experience in band, strong skill match. Gaps: degree off-spec. Qualification: B.Com not the required degree (5/25). Experience: 4.7 yrs, inside 3-6 band (25/25). Skills (24/40): has user research, SQL, UPI/payments; missing product roadmap, agile. Achievement: none listed (0/10).</t>
  </si>
  <si>
    <t>test product roadmap, agile</t>
  </si>
  <si>
    <t>Strengths: experience in band. Gaps: degree off-spec, weak skill match. Qualification: MBA HR partly relevant (15/25). Experience: 3.9 yrs, inside 3-6 band (25/25). Skills (8/40): has agile; missing product roadmap, user research, SQL, UPI/payments. Achievement: led 5-member campus marketing team (5/10).</t>
  </si>
  <si>
    <t>Strengths: experience in band. Gaps: degree off-spec, weak skill match. Qualification: MBA Operations partly relevant (15/25). Experience: 3.7 yrs, inside 3-6 band (25/25). Skills (8/40): has agile; missing product roadmap, user research, SQL, UPI/payments. Achievement: led 5-member campus marketing team (5/10).</t>
  </si>
  <si>
    <t>Strengths: experience in band. Gaps: degree off-spec, weak skill match. Qualification: MBA Marketing partly relevant (15/25). Experience: 4.3 yrs, inside 3-6 band (25/25). Skills (8/40): has product roadmap; missing user research, SQL, agile, UPI/payments. Achievement: led 5-member campus marketing team (5/10).</t>
  </si>
  <si>
    <t>test user research, SQL, agile, UPI/payments</t>
  </si>
  <si>
    <t>Strengths: experience in band. Gaps: degree off-spec, weak skill match. Qualification: MBA Marketing partly relevant (15/25). Experience: 3.5 yrs, inside 3-6 band (25/25). Skills (8/40): has agile; missing product roadmap, user research, SQL, UPI/payments. Achievement: vendor on-time delivery 78%-&gt;92% (4/10).</t>
  </si>
  <si>
    <t>Strengths: experience in band. Gaps: degree off-spec, weak skill match. Qualification: MBA Operations partly relevant (15/25). Experience: 3.4 yrs, inside 3-6 band (25/25). Skills (8/40): has UPI/payments; missing product roadmap, user research, SQL, agile. Achievement: vendor on-time delivery 78%-&gt;92% (4/10).</t>
  </si>
  <si>
    <t>test product roadmap, user research, SQL, agile</t>
  </si>
  <si>
    <t>Strengths: experience in band. Gaps: degree off-spec. Qualification: MBA Operations partly relevant (15/25). Experience: 4.7 yrs, inside 3-6 band (25/25). Skills (12/40): has user research; partial: UPI/payments &lt;- domain exposure: most recently at a fintech start-up; missing product roadmap, SQL, agile. Achievement: none listed (0/10).</t>
  </si>
  <si>
    <t>test product roadmap, SQL, agile; confirm UPI/payments (partial credit)</t>
  </si>
  <si>
    <t>Strengths: experience in band. Gaps: degree off-spec, weak skill match. Qualification: MBA Marketing partly relevant (15/25). Experience: 5.9 yrs, inside 3-6 band (25/25). Skills (8/40): has product roadmap; missing user research, SQL, agile, UPI/payments. Achievement: vendor on-time delivery 78%-&gt;92% (4/10).</t>
  </si>
  <si>
    <t>Strengths: experience in band. Gaps: degree off-spec. Qualification: BBA not the required degree (5/25). Experience: 4.4 yrs, inside 3-6 band (25/25). Skills (16/40): has product roadmap, SQL; missing user research, agile, UPI/payments. Achievement: led 5-member campus marketing team (5/10).</t>
  </si>
  <si>
    <t>Strengths: experience in band. Gaps: degree off-spec, weak skill match. Qualification: MBA HR partly relevant (15/25). Experience: 4.5 yrs, inside 3-6 band (25/25). Skills (8/40): has product roadmap; missing user research, SQL, agile, UPI/payments. Achievement: 120 hires in a year (3/10).</t>
  </si>
  <si>
    <t>Strengths: right degree. Gaps: under-experienced. Qualification: B.Tech + MBA meets requirement (25/25). Experience: 1.9 yrs, 1.1 below 3-6 band (8/25). Skills (12/40): has agile; partial: UPI/payments &lt;- domain exposure: most recently at a fintech start-up; missing product roadmap, user research, SQL. Achievement: led 5-member campus marketing team (5/10).</t>
  </si>
  <si>
    <t>test product roadmap, user research, SQL; confirm UPI/payments (partial credit); check depth of hands-on experience</t>
  </si>
  <si>
    <t>UPI/payments &lt;- domain exposure: most recently at a fintech start-up; user research &lt;- A/B testing listed (customer-insight method)</t>
  </si>
  <si>
    <t>Strengths: strong skill match. Gaps: degree off-spec, under-experienced. Qualification: MBA HR partly relevant (15/25). Experience: 1.1 yrs, 1.9 below 3-6 band (8/25). Skills (24/40): has product roadmap, SQL; partial: UPI/payments &lt;- domain exposure: most recently at a fintech start-up; user research &lt;- A/B testing listed (customer-insight method); missing agile. Achievement: 120 hires in a year (3/10).</t>
  </si>
  <si>
    <t>test agile; confirm UPI/payments, user research (partial credit); check depth of hands-on experience</t>
  </si>
  <si>
    <t>Strengths: right degree. Gaps: over-experienced for band, weak skill match. Qualification: B.Tech + MBA meets requirement (25/25). Experience: 8.7 yrs, 2.7 above 3-6 band (12/25). Skills (8/40): has product roadmap; missing user research, SQL, agile, UPI/payments. Achievement: led 5-member campus marketing team (5/10).</t>
  </si>
  <si>
    <t>test user research, SQL, agile, UPI/payments; check fit/expectations given seniority</t>
  </si>
  <si>
    <t>Strengths: experience in band. Gaps: degree off-spec. Qualification: BBA not the required degree (5/25). Experience: 3.1 yrs, inside 3-6 band (25/25). Skills (16/40): has product roadmap, UPI/payments; missing user research, SQL, agile. Achievement: 120 hires in a year (3/10).</t>
  </si>
  <si>
    <t>test user research, SQL, agile</t>
  </si>
  <si>
    <t>Strengths: role-relevant achievement. Gaps: degree off-spec, under-experienced. Qualification: MBA Marketing partly relevant (15/25). Experience: 2 yrs, 1.0 below 3-6 band (15/25). Skills (12/40): has SQL; partial: user research &lt;- A/B testing listed (customer-insight method); missing product roadmap, agile, UPI/payments. Achievement: Power BI dashboard for 30 managers (7/10).</t>
  </si>
  <si>
    <t>test product roadmap, agile, UPI/payments; confirm user research (partial credit); check depth of hands-on experience</t>
  </si>
  <si>
    <t>Strengths: right degree. Gaps: over-experienced for band, weak skill match. Qualification: B.Tech + MBA meets requirement (25/25). Experience: 6.4 yrs, 0.4 above 3-6 band (20/25). Skills (0/40): has none of the 5; missing product roadmap, user research, SQL, agile, UPI/payments. Achievement: 120 hires in a year (3/10).</t>
  </si>
  <si>
    <t>test product roadmap, user research, SQL, agile, UPI/payments; check fit/expectations given seniority</t>
  </si>
  <si>
    <t>Strengths: experience in band. Gaps: degree off-spec. Qualification: BBA not the required degree (5/25). Experience: 3.7 yrs, inside 3-6 band (25/25). Skills (12/40): has agile; partial: UPI/payments &lt;- domain exposure: most recently at a fintech start-up; missing product roadmap, user research, SQL. Achievement: cut reporting time 40% via Excel automation (6/10).</t>
  </si>
  <si>
    <t>No clear strengths. Gaps: degree off-spec, over-experienced for band. Qualification: MBA Finance partly relevant (15/25). Experience: 6.9 yrs, 0.9 above 3-6 band (20/25). Skills (12/40): has product roadmap; partial: user research &lt;- A/B testing listed (customer-insight method); missing SQL, agile, UPI/payments. Achievement: none listed (0/10).</t>
  </si>
  <si>
    <t>test SQL, agile, UPI/payments; confirm user research (partial credit); check fit/expectations given seniority</t>
  </si>
  <si>
    <t>No clear strengths. Gaps: degree off-spec, over-experienced for band. Qualification: MBA Operations partly relevant (15/25). Experience: 8.4 yrs, 2.4 above 3-6 band (12/25). Skills (16/40): has user research, UPI/payments; missing product roadmap, SQL, agile. Achievement: vendor on-time delivery 78%-&gt;92% (4/10).</t>
  </si>
  <si>
    <t>test product roadmap, SQL, agile; check fit/expectations given seniority</t>
  </si>
  <si>
    <t>UPI/payments &lt;- domain exposure: most recently at a bank; user research &lt;- A/B testing listed (customer-insight method)</t>
  </si>
  <si>
    <t>No clear strengths. Gaps: degree off-spec, over-experienced for band. Qualification: CA not the required degree (5/25). Experience: 7.3 yrs, 1.3 above 3-6 band (20/25). Skills (16/40): has SQL; partial: UPI/payments &lt;- domain exposure: most recently at a bank; user research &lt;- A/B testing listed (customer-insight method); missing product roadmap, agile. Achievement: cut reporting time 40% via Excel automation (6/10).</t>
  </si>
  <si>
    <t>test product roadmap, agile; confirm UPI/payments, user research (partial credit); check fit/expectations given seniority</t>
  </si>
  <si>
    <t>Strengths: experience in band. Gaps: degree off-spec. Qualification: CA not the required degree (5/25). Experience: 5.4 yrs, inside 3-6 band (25/25). Skills (16/40): has product roadmap, UPI/payments; missing user research, SQL, agile. Achievement: none listed (0/10).</t>
  </si>
  <si>
    <t>Strengths: experience in band, role-relevant achievement. Gaps: degree off-spec, weak skill match. Qualification: BBA not the required degree (5/25). Experience: 3 yrs, inside 3-6 band (25/25). Skills (8/40): has SQL; missing product roadmap, user research, agile, UPI/payments. Achievement: Power BI dashboard for 30 managers (7/10).</t>
  </si>
  <si>
    <t>test product roadmap, user research, agile, UPI/payments</t>
  </si>
  <si>
    <t>Strengths: experience in band, role-relevant achievement. Gaps: degree off-spec, weak skill match. Qualification: B.Com not the required degree (5/25). Experience: 5.8 yrs, inside 3-6 band (25/25). Skills (8/40): has UPI/payments; missing product roadmap, user research, SQL, agile. Achievement: Power BI dashboard for 30 managers (7/10).</t>
  </si>
  <si>
    <t>Strengths: experience in band, role-relevant achievement. Gaps: degree off-spec, weak skill match. Qualification: B.Com not the required degree (5/25). Experience: 4.1 yrs, inside 3-6 band (25/25). Skills (8/40): has user research; missing product roadmap, SQL, agile, UPI/payments. Achievement: Power BI dashboard for 30 managers (7/10).</t>
  </si>
  <si>
    <t>test product roadmap, SQL, agile, UPI/payments</t>
  </si>
  <si>
    <t>No clear strengths. Gaps: degree off-spec, over-experienced for band. Qualification: MBA Operations partly relevant (15/25). Experience: 8.9 yrs, 2.9 above 3-6 band (12/25). Skills (12/40): has agile; partial: user research &lt;- A/B testing listed (customer-insight method); missing product roadmap, SQL, UPI/payments. Achievement: cut reporting time 40% via Excel automation (6/10).</t>
  </si>
  <si>
    <t>test product roadmap, SQL, UPI/payments; confirm user research (partial credit); check fit/expectations given seniority</t>
  </si>
  <si>
    <t>No clear strengths. Gaps: degree off-spec, under-experienced, weak skill match. Qualification: MBA HR partly relevant (15/25). Experience: 2.3 yrs, 0.7 below 3-6 band (15/25). Skills (8/40): has agile; missing product roadmap, user research, SQL, UPI/payments. Achievement: cut reporting time 40% via Excel automation (6/10).</t>
  </si>
  <si>
    <t>test product roadmap, user research, SQL, UPI/payments; check depth of hands-on experience</t>
  </si>
  <si>
    <t>No clear strengths. Gaps: degree off-spec, over-experienced for band. Qualification: CA not the required degree (5/25). Experience: 7.5 yrs, 1.5 above 3-6 band (20/25). Skills (16/40): has SQL, UPI/payments; missing product roadmap, user research, agile. Achievement: 120 hires in a year (3/10).</t>
  </si>
  <si>
    <t>test product roadmap, user research, agile; check fit/expectations given seniority</t>
  </si>
  <si>
    <t>Strengths: experience in band. Gaps: degree off-spec, weak skill match. Qualification: MBA Finance partly relevant (15/25). Experience: 5.5 yrs, inside 3-6 band (25/25). Skills (0/40): has none of the 5; missing product roadmap, user research, SQL, agile, UPI/payments. Achievement: 120 hires in a year (3/10).</t>
  </si>
  <si>
    <t>Strengths: experience in band. Gaps: degree off-spec, weak skill match. Qualification: MBA Marketing partly relevant (15/25). Experience: 5.4 yrs, inside 3-6 band (25/25). Skills (0/40): has none of the 5; missing product roadmap, user research, SQL, agile, UPI/payments. Achievement: 120 hires in a year (3/10).</t>
  </si>
  <si>
    <t>Strengths: experience in band. Gaps: degree off-spec, weak skill match. Qualification: MBA Operations partly relevant (15/25). Experience: 5.5 yrs, inside 3-6 band (25/25). Skills (0/40): has none of the 5; missing product roadmap, user research, SQL, agile, UPI/payments. Achievement: 120 hires in a year (3/10).</t>
  </si>
  <si>
    <t>Strengths: experience in band. Gaps: degree off-spec, weak skill match. Qualification: CA not the required degree (5/25). Experience: 3.4 yrs, inside 3-6 band (25/25). Skills (8/40): has product roadmap; missing user research, SQL, agile, UPI/payments. Achievement: led 5-member campus marketing team (5/10).</t>
  </si>
  <si>
    <t>No clear strengths. Gaps: degree off-spec, over-experienced for band. Qualification: MBA Operations partly relevant (15/25). Experience: 8.4 yrs, 2.4 above 3-6 band (12/25). Skills (12/40): has agile; partial: UPI/payments &lt;- domain exposure: most recently at a fintech start-up; missing product roadmap, user research, SQL. Achievement: vendor on-time delivery 78%-&gt;92% (4/10).</t>
  </si>
  <si>
    <t>test product roadmap, user research, SQL; confirm UPI/payments (partial credit); check fit/expectations given seniority</t>
  </si>
  <si>
    <t>Strengths: role-relevant achievement. Gaps: degree off-spec, under-experienced. Qualification: B.Com not the required degree (5/25). Experience: 2.1 yrs, 0.9 below 3-6 band (15/25). Skills (16/40): has user research, UPI/payments; missing product roadmap, SQL, agile. Achievement: Power BI dashboard for 30 managers (7/10).</t>
  </si>
  <si>
    <t>test product roadmap, SQL, agile; check depth of hands-on experience</t>
  </si>
  <si>
    <t>Strengths: experience in band. Gaps: degree off-spec, weak skill match. Qualification: BBA not the required degree (5/25). Experience: 5.1 yrs, inside 3-6 band (25/25). Skills (8/40): has SQL; missing product roadmap, user research, agile, UPI/payments. Achievement: vendor on-time delivery 78%-&gt;92% (4/10).</t>
  </si>
  <si>
    <t>No clear strengths. Gaps: degree off-spec, under-experienced. Qualification: MBA Finance partly relevant (15/25). Experience: 1.9 yrs, 1.1 below 3-6 band (8/25). Skills (16/40): has product roadmap; partial: UPI/payments &lt;- domain exposure: most recently at a fintech start-up; user research &lt;- A/B testing listed (customer-insight method); missing SQL, agile. Achievement: 120 hires in a year (3/10).</t>
  </si>
  <si>
    <t>test SQL, agile; confirm UPI/payments, user research (partial credit); check depth of hands-on experience</t>
  </si>
  <si>
    <t>Strengths: experience in band. Gaps: degree off-spec, weak skill match. Qualification: BBA not the required degree (5/25). Experience: 4 yrs, inside 3-6 band (25/25). Skills (8/40): has user research; missing product roadmap, SQL, agile, UPI/payments. Achievement: 120 hires in a year (3/10).</t>
  </si>
  <si>
    <t>Strengths: right degree. Gaps: under-experienced, weak skill match. Qualification: B.Tech + MBA meets requirement (25/25). Experience: 1.3 yrs, 1.7 below 3-6 band (8/25). Skills (8/40): has user research; missing product roadmap, SQL, agile, UPI/payments. Achievement: none listed (0/10).</t>
  </si>
  <si>
    <t>test product roadmap, SQL, agile, UPI/payments; check depth of hands-on experience</t>
  </si>
  <si>
    <t>Strengths: experience in band. Gaps: degree off-spec, weak skill match. Qualification: BBA not the required degree (5/25). Experience: 3.7 yrs, inside 3-6 band (25/25). Skills (8/40): has SQL; missing product roadmap, user research, agile, UPI/payments. Achievement: 120 hires in a year (3/10).</t>
  </si>
  <si>
    <t>UPI/payments &lt;- domain exposure: most recently at a bank</t>
  </si>
  <si>
    <t>No clear strengths. Gaps: degree off-spec, over-experienced for band. Qualification: BBA not the required degree (5/25). Experience: 8.3 yrs, 2.3 above 3-6 band (12/25). Skills (20/40): has user research, agile; partial: UPI/payments &lt;- domain exposure: most recently at a bank; missing product roadmap, SQL. Achievement: vendor on-time delivery 78%-&gt;92% (4/10).</t>
  </si>
  <si>
    <t>test product roadmap, SQL; confirm UPI/payments (partial credit); check fit/expectations given seniority</t>
  </si>
  <si>
    <t>Strengths: role-relevant achievement. Gaps: degree off-spec, over-experienced for band, weak skill match. Qualification: CA not the required degree (5/25). Experience: 7.2 yrs, 1.2 above 3-6 band (20/25). Skills (8/40): has agile; missing product roadmap, user research, SQL, UPI/payments. Achievement: Power BI dashboard for 30 managers (7/10).</t>
  </si>
  <si>
    <t>test product roadmap, user research, SQL, UPI/payments; check fit/expectations given seniority</t>
  </si>
  <si>
    <t>No clear strengths. Gaps: degree off-spec, under-experienced. Qualification: MBA Operations partly relevant (15/25). Experience: 1.5 yrs, 1.5 below 3-6 band (8/25). Skills (12/40): has UPI/payments; partial: user research &lt;- A/B testing listed (customer-insight method); missing product roadmap, SQL, agile. Achievement: led 5-member campus marketing team (5/10).</t>
  </si>
  <si>
    <t>test product roadmap, SQL, agile; confirm user research (partial credit); check depth of hands-on experience</t>
  </si>
  <si>
    <t>Strengths: experience in band. Gaps: degree off-spec, weak skill match. Qualification: BBA not the required degree (5/25). Experience: 5.3 yrs, inside 3-6 band (25/25). Skills (4/40): has none of the 5; partial: UPI/payments &lt;- domain exposure: most recently at a bank; missing product roadmap, user research, SQL, agile. Achievement: cut reporting time 40% via Excel automation (6/10).</t>
  </si>
  <si>
    <t>test product roadmap, user research, SQL, agile; confirm UPI/payments (partial credit)</t>
  </si>
  <si>
    <t>No clear strengths. Gaps: degree off-spec, over-experienced for band, weak skill match. Qualification: MBA Finance partly relevant (15/25). Experience: 6.9 yrs, 0.9 above 3-6 band (20/25). Skills (4/40): has none of the 5; partial: user research &lt;- A/B testing listed (customer-insight method); missing product roadmap, SQL, agile, UPI/payments. Achievement: none listed (0/10).</t>
  </si>
  <si>
    <t>test product roadmap, SQL, agile, UPI/payments; confirm user research (partial credit); check fit/expectations given seniority</t>
  </si>
  <si>
    <t>No clear strengths. Gaps: degree off-spec, under-experienced. Qualification: B.Com not the required degree (5/25). Experience: 2.6 yrs, 0.4 below 3-6 band (15/25). Skills (16/40): has product roadmap, SQL; missing user research, agile, UPI/payments. Achievement: 120 hires in a year (3/10).</t>
  </si>
  <si>
    <t>test user research, agile, UPI/payments; check depth of hands-on experience</t>
  </si>
  <si>
    <t>No clear strengths. Gaps: degree off-spec, over-experienced for band, weak skill match. Qualification: BBA not the required degree (5/25). Experience: 7.2 yrs, 1.2 above 3-6 band (20/25). Skills (8/40): has SQL; missing product roadmap, user research, agile, UPI/payments. Achievement: cut reporting time 40% via Excel automation (6/10).</t>
  </si>
  <si>
    <t>test product roadmap, user research, agile, UPI/payments; check fit/expectations given seniority</t>
  </si>
  <si>
    <t>No clear strengths. Gaps: degree off-spec, over-experienced for band, weak skill match. Qualification: MBA Marketing partly relevant (15/25). Experience: 8.2 yrs, 2.2 above 3-6 band (12/25). Skills (8/40): has agile; missing product roadmap, user research, SQL, UPI/payments. Achievement: 120 hires in a year (3/10).</t>
  </si>
  <si>
    <t>No clear strengths. Gaps: degree off-spec, over-experienced for band, weak skill match. Qualification: B.Com not the required degree (5/25). Experience: 8 yrs, 2.0 above 3-6 band (20/25). Skills (8/40): has SQL; missing product roadmap, user research, agile, UPI/payments. Achievement: vendor on-time delivery 78%-&gt;92% (4/10).</t>
  </si>
  <si>
    <t>No clear strengths. Gaps: degree off-spec, over-experienced for band, weak skill match. Qualification: B.Com not the required degree (5/25). Experience: 7.9 yrs, 1.9 above 3-6 band (20/25). Skills (8/40): has SQL; missing product roadmap, user research, agile, UPI/payments. Achievement: vendor on-time delivery 78%-&gt;92% (4/10).</t>
  </si>
  <si>
    <t>No clear strengths. Gaps: degree off-spec, over-experienced for band, weak skill match. Qualification: BBA not the required degree (5/25). Experience: 6.6 yrs, 0.6 above 3-6 band (20/25). Skills (8/40): has SQL; missing product roadmap, user research, agile, UPI/payments. Achievement: 120 hires in a year (3/10).</t>
  </si>
  <si>
    <t>Strengths: role-relevant achievement. Gaps: degree off-spec, under-experienced. Qualification: BBA not the required degree (5/25). Experience: 1.1 yrs, 1.9 below 3-6 band (8/25). Skills (16/40): has user research, SQL; missing product roadmap, agile, UPI/payments. Achievement: Power BI dashboard for 30 managers (7/10).</t>
  </si>
  <si>
    <t>test product roadmap, agile, UPI/payments; check depth of hands-on experience</t>
  </si>
  <si>
    <t>No clear strengths. Gaps: degree off-spec, over-experienced for band, weak skill match. Qualification: MBA Finance partly relevant (15/25). Experience: 8.9 yrs, 2.9 above 3-6 band (12/25). Skills (4/40): has none of the 5; partial: user research &lt;- A/B testing listed (customer-insight method); missing product roadmap, SQL, agile, UPI/payments. Achievement: led 5-member campus marketing team (5/10).</t>
  </si>
  <si>
    <t>Strengths: right degree. Gaps: under-experienced, weak skill match. Qualification: B.Tech + MBA meets requirement (25/25). Experience: 0.7 yrs, 2.3 below 3-6 band (0/25). Skills (4/40): has none of the 5; partial: UPI/payments &lt;- domain exposure: most recently at a fintech start-up; missing product roadmap, user research, SQL, agile. Achievement: cut reporting time 40% via Excel automation (6/10).</t>
  </si>
  <si>
    <t>test product roadmap, user research, SQL, agile; confirm UPI/payments (partial credit); check depth of hands-on experience</t>
  </si>
  <si>
    <t>Strengths: role-relevant achievement. Gaps: degree off-spec, under-experienced, weak skill match. Qualification: B.Com not the required degree (5/25). Experience: 2.3 yrs, 0.7 below 3-6 band (15/25). Skills (8/40): has user research; missing product roadmap, SQL, agile, UPI/payments. Achievement: Power BI dashboard for 30 managers (7/10).</t>
  </si>
  <si>
    <t>No clear strengths. Gaps: degree off-spec, over-experienced for band, weak skill match. Qualification: MBA HR partly relevant (15/25). Experience: 8.5 yrs, 2.5 above 3-6 band (12/25). Skills (8/40): has SQL; missing product roadmap, user research, agile, UPI/payments. Achievement: none listed (0/10).</t>
  </si>
  <si>
    <t>No clear strengths. Gaps: degree off-spec, under-experienced. Qualification: MBA Marketing partly relevant (15/25). Experience: 0.3 yrs, 2.7 below 3-6 band (0/25). Skills (16/40): has product roadmap, agile; missing user research, SQL, UPI/payments. Achievement: vendor on-time delivery 78%-&gt;92% (4/10).</t>
  </si>
  <si>
    <t>test user research, SQL, UPI/payments; check depth of hands-on experience</t>
  </si>
  <si>
    <t>No clear strengths. Gaps: degree off-spec, under-experienced, weak skill match. Qualification: MBA Operations partly relevant (15/25). Experience: 2.6 yrs, 0.4 below 3-6 band (15/25). Skills (0/40): has none of the 5; missing product roadmap, user research, SQL, agile, UPI/payments. Achievement: led 5-member campus marketing team (5/10).</t>
  </si>
  <si>
    <t>test product roadmap, user research, SQL, agile, UPI/payments; check depth of hands-on experience</t>
  </si>
  <si>
    <t>No clear strengths. Gaps: degree off-spec, under-experienced. Qualification: MBA HR partly relevant (15/25). Experience: 1 yrs, 2.0 below 3-6 band (8/25). Skills (12/40): has SQL; partial: UPI/payments &lt;- domain exposure: most recently at a bank; missing product roadmap, user research, agile. Achievement: none listed (0/10).</t>
  </si>
  <si>
    <t>test product roadmap, user research, agile; confirm UPI/payments (partial credit); check depth of hands-on experience</t>
  </si>
  <si>
    <t>No clear strengths. Gaps: degree off-spec, over-experienced for band, weak skill match. Qualification: MBA HR partly relevant (15/25). Experience: 8.7 yrs, 2.7 above 3-6 band (12/25). Skills (8/40): has none of the 5; partial: UPI/payments &lt;- domain exposure: most recently at a fintech start-up; user research &lt;- A/B testing listed (customer-insight method); missing product roadmap, SQL, agile. Achievement: none listed (0/10).</t>
  </si>
  <si>
    <t>test product roadmap, SQL, agile; confirm UPI/payments, user research (partial credit); check fit/expectations given seniority</t>
  </si>
  <si>
    <t>No clear strengths. Gaps: degree off-spec, under-experienced, weak skill match. Qualification: MBA Finance partly relevant (15/25). Experience: 2.4 yrs, 0.6 below 3-6 band (15/25). Skills (4/40): has none of the 5; partial: user research &lt;- A/B testing listed (customer-insight method); missing product roadmap, SQL, agile, UPI/payments. Achievement: none listed (0/10).</t>
  </si>
  <si>
    <t>test product roadmap, SQL, agile, UPI/payments; confirm user research (partial credit); check depth of hands-on experience</t>
  </si>
  <si>
    <t>No clear strengths. Gaps: degree off-spec, under-experienced, weak skill match. Qualification: BBA not the required degree (5/25). Experience: 2.5 yrs, 0.5 below 3-6 band (15/25). Skills (8/40): has agile; missing product roadmap, user research, SQL, UPI/payments. Achievement: led 5-member campus marketing team (5/10).</t>
  </si>
  <si>
    <t>Strengths: experience in band. Gaps: degree off-spec, weak skill match. Qualification: CA not the required degree (5/25). Experience: 4.5 yrs, inside 3-6 band (25/25). Skills (0/40): has none of the 5; missing product roadmap, user research, SQL, agile, UPI/payments. Achievement: 120 hires in a year (3/10).</t>
  </si>
  <si>
    <t>No clear strengths. Gaps: degree off-spec, under-experienced, weak skill match. Qualification: BBA not the required degree (5/25). Experience: 2.8 yrs, 0.2 below 3-6 band (15/25). Skills (8/40): has agile; missing product roadmap, user research, SQL, UPI/payments. Achievement: vendor on-time delivery 78%-&gt;92% (4/10).</t>
  </si>
  <si>
    <t>No clear strengths. Gaps: degree off-spec, under-experienced. Qualification: BBA not the required degree (5/25). Experience: 2.2 yrs, 0.8 below 3-6 band (15/25). Skills (12/40): has UPI/payments; partial: user research &lt;- A/B testing listed (customer-insight method); missing product roadmap, SQL, agile. Achievement: none listed (0/10).</t>
  </si>
  <si>
    <t>No clear strengths. Gaps: degree off-spec, under-experienced, weak skill match. Qualification: B.Com not the required degree (5/25). Experience: 2.5 yrs, 0.5 below 3-6 band (15/25). Skills (8/40): has product roadmap; missing user research, SQL, agile, UPI/payments. Achievement: 120 hires in a year (3/10).</t>
  </si>
  <si>
    <t>test user research, SQL, agile, UPI/payments; check depth of hands-on experience</t>
  </si>
  <si>
    <t>No clear strengths. Gaps: degree off-spec, over-experienced for band, weak skill match. Qualification: CA not the required degree (5/25). Experience: 6.8 yrs, 0.8 above 3-6 band (20/25). Skills (0/40): has none of the 5; missing product roadmap, user research, SQL, agile, UPI/payments. Achievement: cut reporting time 40% via Excel automation (6/10).</t>
  </si>
  <si>
    <t>No clear strengths. Gaps: degree off-spec, under-experienced, weak skill match. Qualification: MBA Operations partly relevant (15/25). Experience: 1.3 yrs, 1.7 below 3-6 band (8/25). Skills (8/40): has user research; missing product roadmap, SQL, agile, UPI/payments. Achievement: none listed (0/10).</t>
  </si>
  <si>
    <t>Strengths: role-relevant achievement. Gaps: degree off-spec, under-experienced, weak skill match. Qualification: MBA Operations partly relevant (15/25). Experience: 0.5 yrs, 2.5 below 3-6 band (0/25). Skills (8/40): has product roadmap; missing user research, SQL, agile, UPI/payments. Achievement: Power BI dashboard for 30 managers (7/10).</t>
  </si>
  <si>
    <t>No clear strengths. Gaps: degree off-spec, under-experienced. Qualification: BBA not the required degree (5/25). Experience: 1.3 yrs, 1.7 below 3-6 band (8/25). Skills (12/40): has user research; partial: UPI/payments &lt;- domain exposure: most recently at a fintech start-up; missing product roadmap, SQL, agile. Achievement: vendor on-time delivery 78%-&gt;92% (4/10).</t>
  </si>
  <si>
    <t>test product roadmap, SQL, agile; confirm UPI/payments (partial credit); check depth of hands-on experience</t>
  </si>
  <si>
    <t>No clear strengths. Gaps: degree off-spec, over-experienced for band, weak skill match. Qualification: CA not the required degree (5/25). Experience: 7.7 yrs, 1.7 above 3-6 band (20/25). Skills (0/40): has none of the 5; missing product roadmap, user research, SQL, agile, UPI/payments. Achievement: vendor on-time delivery 78%-&gt;92% (4/10).</t>
  </si>
  <si>
    <t>No clear strengths. Gaps: degree off-spec, under-experienced. Qualification: BBA not the required degree (5/25). Experience: 1.3 yrs, 1.7 below 3-6 band (8/25). Skills (16/40): has product roadmap, UPI/payments; missing user research, SQL, agile. Achievement: none listed (0/10).</t>
  </si>
  <si>
    <t>test user research, SQL, agile; check depth of hands-on experience</t>
  </si>
  <si>
    <t>Strengths: role-relevant achievement. Gaps: degree off-spec, over-experienced for band, weak skill match. Qualification: B.Com not the required degree (5/25). Experience: 9 yrs, 3.0 above 3-6 band (12/25). Skills (4/40): has none of the 5; partial: UPI/payments &lt;- domain exposure: most recently at a bank; missing product roadmap, user research, SQL, agile. Achievement: Power BI dashboard for 30 managers (7/10).</t>
  </si>
  <si>
    <t>test product roadmap, user research, SQL, agile; confirm UPI/payments (partial credit); check fit/expectations given seniority</t>
  </si>
  <si>
    <t>No clear strengths. Gaps: degree off-spec, under-experienced, weak skill match. Qualification: MBA HR partly relevant (15/25). Experience: 1.8 yrs, 1.2 below 3-6 band (8/25). Skills (0/40): has none of the 5; missing product roadmap, user research, SQL, agile, UPI/payments. Achievement: 120 hires in a year (3/10).</t>
  </si>
  <si>
    <t>No clear strengths. Gaps: degree off-spec, under-experienced. Qualification: CA not the required degree (5/25). Experience: 0 yrs, 3.0 below 3-6 band (0/25). Skills (16/40): has SQL, agile; missing product roadmap, user research, UPI/payments. Achievement: vendor on-time delivery 78%-&gt;92% (4/10).</t>
  </si>
  <si>
    <t>test product roadmap, user research, UPI/payments; check depth of hands-on experience</t>
  </si>
  <si>
    <t>No clear strengths. Gaps: degree off-spec, under-experienced. Qualification: B.Com not the required degree (5/25). Experience: 1.6 yrs, 1.4 below 3-6 band (8/25). Skills (12/40): has product roadmap; partial: UPI/payments &lt;- domain exposure: most recently at a fintech start-up; missing user research, SQL, agile. Achievement: none listed (0/10).</t>
  </si>
  <si>
    <t>test user research, SQL, agile; confirm UPI/payments (partial credit); check depth of hands-on experience</t>
  </si>
  <si>
    <t>No clear strengths. Gaps: degree off-spec, under-experienced, weak skill match. Qualification: BBA not the required degree (5/25). Experience: 1.1 yrs, 1.9 below 3-6 band (8/25). Skills (8/40): has user research; missing product roadmap, SQL, agile, UPI/payments. Achievement: 120 hires in a year (3/10).</t>
  </si>
  <si>
    <t>No clear strengths. Gaps: degree off-spec, under-experienced, weak skill match. Qualification: MBA Finance partly relevant (15/25). Experience: 0.5 yrs, 2.5 below 3-6 band (0/25). Skills (4/40): has none of the 5; partial: UPI/payments &lt;- domain exposure: most recently at a bank; missing product roadmap, user research, SQL, agile. Achievement: led 5-member campus marketing team (5/10).</t>
  </si>
  <si>
    <t>No clear strengths. Gaps: degree off-spec, under-experienced, weak skill match. Qualification: MBA Finance partly relevant (15/25). Experience: 0.1 yrs, 2.9 below 3-6 band (0/25). Skills (8/40): has SQL; missing product roadmap, user research, agile, UPI/payments. Achievement: none listed (0/10).</t>
  </si>
  <si>
    <t>test product roadmap, user research, agile, UPI/payments; check depth of hands-on experience</t>
  </si>
  <si>
    <t>No clear strengths. Gaps: degree off-spec, under-experienced, weak skill match. Qualification: CA not the required degree (5/25). Experience: 1.7 yrs, 1.3 below 3-6 band (8/25). Skills (8/40): has agile; missing product roadmap, user research, SQL, UPI/payments. Achievement: none listed (0/10).</t>
  </si>
  <si>
    <t>No clear strengths. Gaps: degree off-spec, under-experienced, weak skill match. Qualification: MBA Finance partly relevant (15/25). Experience: 0.7 yrs, 2.3 below 3-6 band (0/25). Skills (0/40): has none of the 5; missing product roadmap, user research, SQL, agile, UPI/payments. Achievement: 120 hires in a year (3/10).</t>
  </si>
  <si>
    <t>No clear strengths. Gaps: degree off-spec, over-experienced for band, weak skill match. Qualification: B.Com not the required degree (5/25). Experience: 8.5 yrs, 2.5 above 3-6 band (12/25). Skills (0/40): has none of the 5; missing product roadmap, user research, SQL, agile, UPI/payments. Achievement: none listed (0/10).</t>
  </si>
  <si>
    <t>No clear strengths. Gaps: degree off-spec, under-experienced, weak skill match. Qualification: BBA not the required degree (5/25). Experience: 0.4 yrs, 2.6 below 3-6 band (0/25). Skills (0/40): has none of the 5; missing product roadmap, user research, SQL, agile, UPI/payments. Achievement: vendor on-time delivery 78%-&gt;92% (4/10).</t>
  </si>
  <si>
    <t>Scoring prompt (final, v3.1) and rubric</t>
  </si>
  <si>
    <t>The AI fills the four component scores, partial credit, reason and probes. Excel adds them up and makes the decision. Yellow cells are settings you can change.</t>
  </si>
  <si>
    <t>Prompt part</t>
  </si>
  <si>
    <t>Prompt text (exact) - paste parts 1-7 together as one message, once per resume-JD pair</t>
  </si>
  <si>
    <t>1. Role</t>
  </si>
  <si>
    <t>You are a fair, evidence-based resume screener supporting a hiring team. You score; humans decide.</t>
  </si>
  <si>
    <t>2. Task</t>
  </si>
  <si>
    <t>Score ONE resume against ONE job description using only the rubric below. Use only facts written in the resume. If something is not stated, give it no credit - do not guess.</t>
  </si>
  <si>
    <t>3. Inputs</t>
  </si>
  <si>
    <t>JOB DESCRIPTION: {jd_id} | {role} | {requirements}
RESUME: {candidate_id} | {resume_summary}
QUALIFICATION TABLE and ACHIEVEMENT TABLE for this JD: {paste the matching columns from the tables below}</t>
  </si>
  <si>
    <t>4. Rubric (100 pts)</t>
  </si>
  <si>
    <t>Qualification 0-25: from the qualification table.
Experience 0-25: inside the JD band = 25; below by up to 1 yr = 15; below by more than 1 and up to 2 yrs = 8; below by more than 2 yrs = 0; above by up to 2 yrs = 20; above by more than 2 yrs = 12.
Skills 0-40: 8 points for each of the 5 required skills that appears in 'Key skills'.
Achievement 0-10: from the achievement table.</t>
  </si>
  <si>
    <t>5. Partial credit</t>
  </si>
  <si>
    <t>If a required skill is NOT in 'Key skills', give 4 points only when one of these rules applies (never more than 8 for one skill):
JD3: Tableau listed -&gt; Power BI; Power BI named in the achievement -&gt; Power BI; Excel named in the achievement -&gt; Excel.
JD5: most recent employer is a fintech start-up or a bank (sector exposure) -&gt; UPI/payments; A/B testing listed -&gt; user research.
List every partial credit as 'skill &lt;- evidence'.</t>
  </si>
  <si>
    <t>6. Do not use</t>
  </si>
  <si>
    <t>Ignore and never mention: name, gender, age, religion, caste, region or language, marital or family status, institute tier or college name, career gaps or their reasons, employer brand or prestige. These are not job requirements.</t>
  </si>
  <si>
    <t>7. Output format</t>
  </si>
  <si>
    <t>Return exactly one line, pipe-separated, no other text:
candidate_id | jd_id | qual_pts | exp_pts | skill_pts | ach_pts | partial_credit ('none' if none) | reason (max 70 words: 'Strengths: ... Gaps: ...', then one clause per rubric line naming skills found and missing) | interview_probes
Do NOT compute the total or a decision - the spreadsheet does that.</t>
  </si>
  <si>
    <t>Decision rules - applied by Excel formulas, not by the AI</t>
  </si>
  <si>
    <t>Setting</t>
  </si>
  <si>
    <t>Value</t>
  </si>
  <si>
    <t>Meaning</t>
  </si>
  <si>
    <t>Shortlist: minimum total</t>
  </si>
  <si>
    <t>Total score at or above this goes to Shortlist (interview) if the skills minimum below is also met.</t>
  </si>
  <si>
    <t>Shortlist: minimum skill points</t>
  </si>
  <si>
    <t>Added in v3.1: at least 1.5 required skills of evidence (e.g. one listed + one partial).</t>
  </si>
  <si>
    <t>Review: minimum total</t>
  </si>
  <si>
    <t>Total at or above this (but below Shortlist) goes to a human recruiter. Nobody in this band is auto-rejected.</t>
  </si>
  <si>
    <t>Review: minimum skill points</t>
  </si>
  <si>
    <t>Added in v3.1: at least one required skill evidenced. Stops degree + years alone from reaching Review.</t>
  </si>
  <si>
    <t>Role parameters (the two roles screened)</t>
  </si>
  <si>
    <t>band_low (yrs)</t>
  </si>
  <si>
    <t>band_high (yrs)</t>
  </si>
  <si>
    <t>skill_1</t>
  </si>
  <si>
    <t>skill_2</t>
  </si>
  <si>
    <t>skill_3</t>
  </si>
  <si>
    <t>skill_4</t>
  </si>
  <si>
    <t>skill_5</t>
  </si>
  <si>
    <t>Financial Analyst</t>
  </si>
  <si>
    <t>financial modelling</t>
  </si>
  <si>
    <t>Excel</t>
  </si>
  <si>
    <t>valuation</t>
  </si>
  <si>
    <t>variance analysis</t>
  </si>
  <si>
    <t>Power BI</t>
  </si>
  <si>
    <t>Product Manager - Fintech</t>
  </si>
  <si>
    <t>product roadmap</t>
  </si>
  <si>
    <t>user research</t>
  </si>
  <si>
    <t>SQL</t>
  </si>
  <si>
    <t>agile</t>
  </si>
  <si>
    <t>UPI/payments</t>
  </si>
  <si>
    <t>Qualification points (0-25)</t>
  </si>
  <si>
    <t>qualification</t>
  </si>
  <si>
    <t>Rationale</t>
  </si>
  <si>
    <t>MBA Finance</t>
  </si>
  <si>
    <t>JD3: required. JD5: MBA without stated tech background.</t>
  </si>
  <si>
    <t>CA</t>
  </si>
  <si>
    <t>JD3: required (MBA Finance or CA). JD5: not an MBA.</t>
  </si>
  <si>
    <t>B.Tech + MBA</t>
  </si>
  <si>
    <t>JD3: MBA, specialisation not stated. JD5: exactly "MBA with tech background".</t>
  </si>
  <si>
    <t>MBA Marketing</t>
  </si>
  <si>
    <t>MBA, but not the specialisation asked for.</t>
  </si>
  <si>
    <t>MBA HR</t>
  </si>
  <si>
    <t>MBA Operations</t>
  </si>
  <si>
    <t>B.Com</t>
  </si>
  <si>
    <t>Commerce graduate: some finance grounding for JD3, none of the MBA ask.</t>
  </si>
  <si>
    <t>BBA</t>
  </si>
  <si>
    <t>Business graduate, no MBA.</t>
  </si>
  <si>
    <t>Achievement relevance points (0-10)</t>
  </si>
  <si>
    <t>achievement (exact text in resume)</t>
  </si>
  <si>
    <t>built a Power BI sales dashboard used by 30 managers</t>
  </si>
  <si>
    <t>JD3: uses a required tool at scale. JD5: shipped a data product with real user adoption.</t>
  </si>
  <si>
    <t>cut reporting time by 40% by automating Excel reports</t>
  </si>
  <si>
    <t>JD3: core analyst work in a required tool. JD5: process automation, quantified.</t>
  </si>
  <si>
    <t>improved vendor on-time delivery from 78% to 92%</t>
  </si>
  <si>
    <t>Quantified impact, but in operations, not the target function.</t>
  </si>
  <si>
    <t>handled 120 hires in one year</t>
  </si>
  <si>
    <t>Quantified, but HR work unrelated to either role.</t>
  </si>
  <si>
    <t>led a 5-member campus marketing team</t>
  </si>
  <si>
    <t>Leadership at campus level; more relevant to a PM (JD5) than an analyst.</t>
  </si>
  <si>
    <t>no major achievement listed</t>
  </si>
  <si>
    <t>No evidence to score.</t>
  </si>
  <si>
    <t>Experience points (0-25)</t>
  </si>
  <si>
    <t>Rule</t>
  </si>
  <si>
    <t>Points</t>
  </si>
  <si>
    <t>Inside the JD band</t>
  </si>
  <si>
    <t>Below band by up to 1 yr</t>
  </si>
  <si>
    <t>Below band by more than 1, up to 2 yrs</t>
  </si>
  <si>
    <t>Below band by more than 2 yrs</t>
  </si>
  <si>
    <t>Above band by up to 2 yrs</t>
  </si>
  <si>
    <t>Above band by more than 2 yrs</t>
  </si>
  <si>
    <t>Partial-credit rules (4 pts each; a skill can never exceed 8)</t>
  </si>
  <si>
    <t>Required skill</t>
  </si>
  <si>
    <t>Evidence accepted</t>
  </si>
  <si>
    <t>Tableau listed (equivalent BI tool), or Power BI named in the achievement</t>
  </si>
  <si>
    <t>Excel named in the achievement (e.g. automating Excel reports)</t>
  </si>
  <si>
    <t>Most recent employer is a fintech start-up or a bank (sector exposure)</t>
  </si>
  <si>
    <t>A/B testing listed (customer-insight method)</t>
  </si>
  <si>
    <t>Both</t>
  </si>
  <si>
    <t>variance analysis / others</t>
  </si>
  <si>
    <t>No partial credit. Nobody in the pool lists variance analysis, so it is tested at interview.</t>
  </si>
  <si>
    <t>How the screening was run</t>
  </si>
  <si>
    <t>Tool: Claude (claude.ai, Claude Opus 5.5) with file upload and code execution. Claude applied this prompt to all 200 resume-JD pairs (100 resumes x JD3, JD5). To give every pair identical treatment, Claude ran the rubric as a script in its sandbox that reads the resume_summary text - the same text a chatbot would see - and wrote the component scores, partial credit, reason and probes into 'Scored Shortlist'. Every number was then re-computed independently with Excel formulas in 'Rule Check'.</t>
  </si>
  <si>
    <t>Prompt iterations - v1 to v3.1, with rejected outputs kept</t>
  </si>
  <si>
    <t>Each round: exact prompt, what it was tested on, what failed (with numbers), and the change made.</t>
  </si>
  <si>
    <t>Version</t>
  </si>
  <si>
    <t>Prompt text (exact)</t>
  </si>
  <si>
    <t>Tested on</t>
  </si>
  <si>
    <t>What worked</t>
  </si>
  <si>
    <t>What failed (evidence)</t>
  </si>
  <si>
    <t>Change made next</t>
  </si>
  <si>
    <t>Status</t>
  </si>
  <si>
    <t>v1</t>
  </si>
  <si>
    <t>Score this resume out of 100 for the job description below and give reasons.
JOB DESCRIPTION: JD3 Financial Analyst - MBA Finance or CA; 2-4 years; skills: financial modelling, Excel, valuation, variance analysis, Power BI.
RESUME: {resume_summary}</t>
  </si>
  <si>
    <t>Pilot: 5 JD3 resumes (CV015, CV023, CV043, CV097, CV073)</t>
  </si>
  <si>
    <t>Fast; reasons were readable and picked up the main skills.</t>
  </si>
  <si>
    <t>No score breakdown, so no number could be verified. 4 of 5 reasons cited institute tier or a career gap. Average 66 vs 49 under the final rubric (same 5 resumes): unanchored and inflated. Free text could not be pasted into Excel.</t>
  </si>
  <si>
    <t>Added a fixed 100-point rubric and a one-line pipe-separated output.</t>
  </si>
  <si>
    <t>Rejected</t>
  </si>
  <si>
    <t>v2</t>
  </si>
  <si>
    <t>You are a resume screener. Score the resume against the job description using this rubric (100 points): Qualification 0-25 (exact required degree 25, other MBA 12-15, other degree 5-8); Experience 0-25 (inside band 25; up to 1 yr below 15; 1-2 yrs below 8; more 0; up to 2 yrs above 20; more 12); Skills 0-40 (8 points for each required skill that appears in the Key skills list); Achievement 0-10 (relevance of the listed achievement to the role). Then adjust: +5 for a tier-1 institute, -5 for a tier-3 institute, -5 for any career gap.
Output one line: candidate_id | jd_id | qual | exp | skills | achievement | adjustment | total | reason (max 40 words).
JOB DESCRIPTION: {jd}
RESUME: {resume_summary}</t>
  </si>
  <si>
    <t>All 200 resume-JD pairs</t>
  </si>
  <si>
    <t>Every component visible and checkable; output pasted straight into Excel.</t>
  </si>
  <si>
    <t>Tier/gap adjustments are not job requirements: on their own they flip 23 of 200 decisions and halve the JD3 female shortlist rate (7.7% to 3.8%) - see Fairness Audit. Exact-match skills ignored real evidence (Tableau for Power BI, fintech employer for payments): 77 of 200 pairs under-scored by 4-8 points. AI also added up the total itself (arithmetic risk).</t>
  </si>
  <si>
    <t>Removed adjustments; added a DO-NOT-USE list; added 5 explicit partial-credit rules; moved total and decision to Excel.</t>
  </si>
  <si>
    <t>v3</t>
  </si>
  <si>
    <t>Parts 1-7 on 'Scoring Prompt' (final text), without the minimum-skills rule.</t>
  </si>
  <si>
    <t>All 200 pairs + 20-row manual spot-check</t>
  </si>
  <si>
    <t>Scores reproduced exactly by independent formulas; reasons name skills found and missing; 0 reasons mention tier, gap, gender or the candidate name.</t>
  </si>
  <si>
    <t>Spot-check: CV022 (0 of 5 JD5 skills) reached the Review band on degree + years alone (57); CV040 was shortlisted for JD3 with 1 of 5 skills (63). Reasons gave no hint why a strong-looking total was held back.</t>
  </si>
  <si>
    <t>Added minimum-skills gate in the Excel decision formula (not in the prompt) and a 'decision note' column.</t>
  </si>
  <si>
    <t>Superseded</t>
  </si>
  <si>
    <t>v3.1</t>
  </si>
  <si>
    <t>Same prompt as v3 + Excel decision rule: Shortlist needs total &gt;= 60 AND skill pts &gt;= 12; Review needs total &gt;= 55 AND skill pts &gt;= 8.</t>
  </si>
  <si>
    <t>All 200 pairs</t>
  </si>
  <si>
    <t>Changed exactly 2 decisions (CV040 JD3 Shortlist -&gt; Review; CV022 JD5 Review -&gt; Not shortlisted). Thresholds are editable cells, so the hiring manager can tune them.</t>
  </si>
  <si>
    <t>Partial credit is used in 77 of 200 pairs, so that evidence must be confirmed at interview (probe column).</t>
  </si>
  <si>
    <t>Final - no prompt change needed.</t>
  </si>
  <si>
    <t>Kept</t>
  </si>
  <si>
    <t>v1 pilot outputs (verbatim, rejected) compared with the final score</t>
  </si>
  <si>
    <t>v1 output (Claude, holistic, no rubric)</t>
  </si>
  <si>
    <t>v1 score</t>
  </si>
  <si>
    <t>v3.1 score</t>
  </si>
  <si>
    <t>Difference</t>
  </si>
  <si>
    <t>Non-job attribute cited?</t>
  </si>
  <si>
    <t>Score: 78/100. Aarav is a strong candidate with an MBA in Finance from a tier-1 institute and nearly 7 years of experience. He has valuation and Excel skills, which are core to the role. He lacks financial modelling and Power BI. His experience exceeds the 2-4 year requirement, so he may be overqualified.</t>
  </si>
  <si>
    <t>Yes - institute tier</t>
  </si>
  <si>
    <t>Score: 50/100. Suresh has the right degree and financial modelling skills, but with only 0.1 years of experience he is essentially a fresher. Being from a tier-3 institute, he may need more training.</t>
  </si>
  <si>
    <t>Score: 60/100. Isha has an MBA Finance and valuation skills, and Tableau is similar to Power BI. She is just under 2 years of experience and has a 6-month career gap, which may be a concern.</t>
  </si>
  <si>
    <t>Yes - career gap</t>
  </si>
  <si>
    <t>Score: 62/100. Manish has strong financial modelling and valuation skills and a lot of experience, but does not have an MBA or CA.</t>
  </si>
  <si>
    <t>No</t>
  </si>
  <si>
    <t>Score: 80/100. Gauri is a Chartered Accountant from a tier-1 institute with 7.7 years of experience and strong financial modelling and Excel skills. Excellent fit, though she may be overqualified.</t>
  </si>
  <si>
    <t>Average</t>
  </si>
  <si>
    <t>Guidelines - first draft (rejected) and why</t>
  </si>
  <si>
    <t>Prompt (exact)</t>
  </si>
  <si>
    <t>Output (verbatim)</t>
  </si>
  <si>
    <t>What failed</t>
  </si>
  <si>
    <t>G-v1</t>
  </si>
  <si>
    <t>Write guidelines for fair AI-assisted resume screening.</t>
  </si>
  <si>
    <t>1. Remove names and photos from resumes. 2. Use diverse training data. 3. Regularly audit the AI for bias. 4. Keep a human in the loop. 5. Be transparent with candidates. 6. Comply with data protection laws.</t>
  </si>
  <si>
    <t>Generic: no thresholds, owners, or checks. 'Diverse training data' does not apply (no model is trained here). Nothing tied to this project's evidence.</t>
  </si>
  <si>
    <t>Re-prompted: each rule must be specific to this screener, cite a number from this project, and name an owner and a check frequency. Result on 'Guidelines'.</t>
  </si>
  <si>
    <t>Rule check - independent Excel re-computation of every AI score</t>
  </si>
  <si>
    <t>Recomputes qualification, experience, exact-skill and achievement points from the raw Resumes sheet with formulas, then checks the AI components. Skill difference must equal 4 x number of partial credits.</t>
  </si>
  <si>
    <t>years</t>
  </si>
  <si>
    <t>skills (from Resumes)</t>
  </si>
  <si>
    <t>resume_summary</t>
  </si>
  <si>
    <t>achievement (MID/FIND)</t>
  </si>
  <si>
    <t>band_low</t>
  </si>
  <si>
    <t>band_high</t>
  </si>
  <si>
    <t>rule qual</t>
  </si>
  <si>
    <t>rule exp</t>
  </si>
  <si>
    <t>exact skills found</t>
  </si>
  <si>
    <t>rule skill pts</t>
  </si>
  <si>
    <t>rule ach</t>
  </si>
  <si>
    <t>rule total</t>
  </si>
  <si>
    <t>AI qual</t>
  </si>
  <si>
    <t>AI exp</t>
  </si>
  <si>
    <t>AI skill</t>
  </si>
  <si>
    <t>AI ach</t>
  </si>
  <si>
    <t>AI total</t>
  </si>
  <si>
    <t>partials (AI)</t>
  </si>
  <si>
    <t>qual ok</t>
  </si>
  <si>
    <t>exp ok</t>
  </si>
  <si>
    <t>ach ok</t>
  </si>
  <si>
    <t>skill diff</t>
  </si>
  <si>
    <t>expected diff</t>
  </si>
  <si>
    <t>skill ok</t>
  </si>
  <si>
    <t>ROW CHECK</t>
  </si>
  <si>
    <t>decision if exact-match only</t>
  </si>
  <si>
    <t>first name in reason?</t>
  </si>
  <si>
    <t>Verification - data checks, independent rule check, leakage check, manual spot-check, errors fixed</t>
  </si>
  <si>
    <t>All counts are live formulas except the manual spot-check judgements (blue).</t>
  </si>
  <si>
    <t>A. Data integrity</t>
  </si>
  <si>
    <t>#</t>
  </si>
  <si>
    <t>Check</t>
  </si>
  <si>
    <t>Result</t>
  </si>
  <si>
    <t>Expected</t>
  </si>
  <si>
    <t>Note</t>
  </si>
  <si>
    <t>Resume rows</t>
  </si>
  <si>
    <t>Distinct candidate IDs</t>
  </si>
  <si>
    <t>IDs are unique, so they are the join key.</t>
  </si>
  <si>
    <t>Distinct names</t>
  </si>
  <si>
    <t>5 names repeat (e.g. Simran Mehta = CV008 and CV059). Never look up by name.</t>
  </si>
  <si>
    <t>Career gap stored as the text 'None'</t>
  </si>
  <si>
    <t>Text, not blank: COUNTBLANK would wrongly return 0 gaps-free rows.</t>
  </si>
  <si>
    <t>Scored resume-JD pairs</t>
  </si>
  <si>
    <t>100 resumes x 2 roles.</t>
  </si>
  <si>
    <t>Pairs for JD3</t>
  </si>
  <si>
    <t>Pairs for JD5</t>
  </si>
  <si>
    <t>Distinct lookup keys (ID|JD)</t>
  </si>
  <si>
    <t>No pair scored twice, none missed.</t>
  </si>
  <si>
    <t>Resumes listing "variance analysis"</t>
  </si>
  <si>
    <t>Nobody can earn this JD3 skill from a resume; test it at interview.</t>
  </si>
  <si>
    <t>B. Independent rule check (Rule Check sheet) - does every AI number follow the rubric?</t>
  </si>
  <si>
    <t>Out of</t>
  </si>
  <si>
    <t>Qualification points match</t>
  </si>
  <si>
    <t>Experience points match</t>
  </si>
  <si>
    <t>Achievement points match</t>
  </si>
  <si>
    <t>Skill points match (difference = 4 x partial credits)</t>
  </si>
  <si>
    <t>Rows passing all four checks</t>
  </si>
  <si>
    <t>Target: 200 of 200.</t>
  </si>
  <si>
    <t>Pairs that used partial credit</t>
  </si>
  <si>
    <t>This evidence is softer, so it is listed in the interview probes.</t>
  </si>
  <si>
    <t>Decisions that would differ if partial credit were removed</t>
  </si>
  <si>
    <t>How much the partial-credit judgement matters.</t>
  </si>
  <si>
    <t>AI total within the 0-100 range</t>
  </si>
  <si>
    <t>Component agreement rate</t>
  </si>
  <si>
    <t>C. Leakage check - do reasons or probes mention protected or excluded attributes?</t>
  </si>
  <si>
    <t>Term searched in AI reasons and probes</t>
  </si>
  <si>
    <t>Matches</t>
  </si>
  <si>
    <t>"tier"</t>
  </si>
  <si>
    <t>"institute"</t>
  </si>
  <si>
    <t>"career" (career gap)</t>
  </si>
  <si>
    <t>"male" (also catches "female")</t>
  </si>
  <si>
    <t>"family"</t>
  </si>
  <si>
    <t>Candidate's own first name appears in the reason</t>
  </si>
  <si>
    <t>D. Manual spot-check - 20 pairs (10 per role: ranks 1, 4, 7, 9, 13, 21, 41, 61, 81, 100); every claim in the reason read against the resume text</t>
  </si>
  <si>
    <t>candidate_id | jd_id</t>
  </si>
  <si>
    <t>Claims correct?</t>
  </si>
  <si>
    <t>What was checked</t>
  </si>
  <si>
    <t>Finding</t>
  </si>
  <si>
    <t>CV051 | JD3</t>
  </si>
  <si>
    <t>Yes</t>
  </si>
  <si>
    <t>Degree, years, Excel/valuation, Tableau partial, missing skills, achievement</t>
  </si>
  <si>
    <t>CV055 | JD3</t>
  </si>
  <si>
    <t>Same items; 3.3 yrs above band scored 12</t>
  </si>
  <si>
    <t>CV040 | JD3</t>
  </si>
  <si>
    <t>Power BI listed, no double credit from achievement</t>
  </si>
  <si>
    <t>Shortlisted with 1 of 5 skills in v3 - led to the v3.1 skills gate</t>
  </si>
  <si>
    <t>CV044 | JD3</t>
  </si>
  <si>
    <t>Power BI partial from achievement; Excel correctly missing</t>
  </si>
  <si>
    <t>CV009 | JD3</t>
  </si>
  <si>
    <t>Only valuation matched; vendor achievement scored 4</t>
  </si>
  <si>
    <t>CV072 | JD3</t>
  </si>
  <si>
    <t>MBA Operations = 12; Power BI partial from achievement</t>
  </si>
  <si>
    <t>CV030 | JD3</t>
  </si>
  <si>
    <t>BBA = 6; valuation + Power BI exact</t>
  </si>
  <si>
    <t>CV060 | JD3</t>
  </si>
  <si>
    <t>Power BI exact; 120 hires scored 3</t>
  </si>
  <si>
    <t>CV010 | JD3</t>
  </si>
  <si>
    <t>SQL correctly not credited (not a JD3 skill)</t>
  </si>
  <si>
    <t>CV100 | JD3</t>
  </si>
  <si>
    <t>0 skills; 0.4 yrs below band = 15</t>
  </si>
  <si>
    <t>CV086 | JD5</t>
  </si>
  <si>
    <t>B.Tech + MBA = 25; fintech employer partial for UPI/payments</t>
  </si>
  <si>
    <t>CV052 | JD5</t>
  </si>
  <si>
    <t>Tableau correctly not credited for JD5</t>
  </si>
  <si>
    <t>CV009 | JD5</t>
  </si>
  <si>
    <t>A/B testing not double-counted (user research already listed)</t>
  </si>
  <si>
    <t>CV057 | JD5</t>
  </si>
  <si>
    <t>UPI/payments listed; consulting employer gives no partial</t>
  </si>
  <si>
    <t>Duplicate name with CV079 - ID lookup returned the right person</t>
  </si>
  <si>
    <t>CV022 | JD5</t>
  </si>
  <si>
    <t>0 of 5 skills</t>
  </si>
  <si>
    <t>Reason listed 3 strengths but no skills: reached Review on degree + years - fixed by v3.1 gate</t>
  </si>
  <si>
    <t>CV049 | JD5</t>
  </si>
  <si>
    <t>Only agile matched</t>
  </si>
  <si>
    <t>CV014 | JD5</t>
  </si>
  <si>
    <t>UPI/payments exact; Power BI dashboard scored 7</t>
  </si>
  <si>
    <t>CV044 | JD5</t>
  </si>
  <si>
    <t>CA = 5; 1.2 yrs above band = 20</t>
  </si>
  <si>
    <t>CV030 | JD5</t>
  </si>
  <si>
    <t>A/B testing partial for user research</t>
  </si>
  <si>
    <t>CV078 | JD5</t>
  </si>
  <si>
    <t>0.4 yrs = 2.6 below band = 0</t>
  </si>
  <si>
    <t>Reasons with every claim correct</t>
  </si>
  <si>
    <t>E. Errors found and fixed</t>
  </si>
  <si>
    <t>Issue found</t>
  </si>
  <si>
    <t>Where</t>
  </si>
  <si>
    <t>Impact</t>
  </si>
  <si>
    <t>Fix</t>
  </si>
  <si>
    <t>Rule Check v0 searched the full resume_summary for skills, so "Excel" and "Power BI" inside achievement text were counted as listed skills.</t>
  </si>
  <si>
    <t>Rule Check</t>
  </si>
  <si>
    <t>19 of 200 rows falsely flagged CHECK</t>
  </si>
  <si>
    <t>Search only the 'skills' column; achievement evidence is handled as partial credit.</t>
  </si>
  <si>
    <t>Fixed - 200 of 200 OK</t>
  </si>
  <si>
    <t>Skill-poor candidates reached Review/Shortlist on degree + years alone (CV022 JD5: 0/40 skills, total 57; CV040 JD3: 8/40, total 63).</t>
  </si>
  <si>
    <t>Spot-check</t>
  </si>
  <si>
    <t>2 decisions</t>
  </si>
  <si>
    <t>Minimum-skills gate in the Excel decision formula (v3.1) + decision-note column.</t>
  </si>
  <si>
    <t>Fixed</t>
  </si>
  <si>
    <t>v2 tier and gap adjustments were not job requirements.</t>
  </si>
  <si>
    <t>Fairness Audit</t>
  </si>
  <si>
    <t>23 of 200 decisions changed; JD3 female shortlist rate 7.7% -&gt; 3.8%</t>
  </si>
  <si>
    <t>Removed in v3; DO-NOT-USE list added to the prompt.</t>
  </si>
  <si>
    <t>Exact keyword matching missed real skill evidence (Tableau for Power BI, fintech employer for payments, A/B testing for user research).</t>
  </si>
  <si>
    <t>v2 output</t>
  </si>
  <si>
    <t>77 of 200 pairs under-scored by 4-8 points</t>
  </si>
  <si>
    <t>Five explicit partial-credit rules, capped at 4 points each.</t>
  </si>
  <si>
    <t>5 duplicate names in the data.</t>
  </si>
  <si>
    <t>Data profiling</t>
  </si>
  <si>
    <t>Any name-based lookup would mix up 10 candidates</t>
  </si>
  <si>
    <t>All joins use candidate_id or ID|JD key.</t>
  </si>
  <si>
    <t>Prevented</t>
  </si>
  <si>
    <t>v1 holistic scores were unanchored and cited institute tier / career gap.</t>
  </si>
  <si>
    <t>v1 pilot</t>
  </si>
  <si>
    <t>Mean 66 vs 49 on the same 5 resumes; 4 of 5 reasons cited non-job attributes</t>
  </si>
  <si>
    <t>Fixed rubric + exclusion list (v2/v3).</t>
  </si>
  <si>
    <t>Bias test - name/gender swap on 10 resumes, scored for both roles</t>
  </si>
  <si>
    <t>Only the first name and gender were changed; every other word is identical. Swapped copies were scored with the same v3.1 prompt. Original scores are pulled live from Scored Shortlist.</t>
  </si>
  <si>
    <t>A. Selection of the 10 resumes: 5 female, 5 male; spread across both cut-offs, all three tiers, with and without career gaps</t>
  </si>
  <si>
    <t>original name</t>
  </si>
  <si>
    <t>original gender</t>
  </si>
  <si>
    <t>swapped name</t>
  </si>
  <si>
    <t>swapped gender</t>
  </si>
  <si>
    <t>JD3 original</t>
  </si>
  <si>
    <t>JD3 swapped (AI)</t>
  </si>
  <si>
    <t>JD3 change</t>
  </si>
  <si>
    <t>JD3 decision original</t>
  </si>
  <si>
    <t>JD3 decision swapped</t>
  </si>
  <si>
    <t>JD5 original</t>
  </si>
  <si>
    <t>JD5 swapped (AI)</t>
  </si>
  <si>
    <t>JD5 change</t>
  </si>
  <si>
    <t>JD5 decision original</t>
  </si>
  <si>
    <t>JD5 decision swapped</t>
  </si>
  <si>
    <t>JD3 swapped skill pts (AI)</t>
  </si>
  <si>
    <t>JD5 swapped skill pts (AI)</t>
  </si>
  <si>
    <t>Rohit Shah</t>
  </si>
  <si>
    <t>Male</t>
  </si>
  <si>
    <t>Arjun Verma</t>
  </si>
  <si>
    <t>Venkatesh Gupta</t>
  </si>
  <si>
    <t>Arnab Chatterjee</t>
  </si>
  <si>
    <t>Sanjay Menon</t>
  </si>
  <si>
    <t>Pooja Pawar</t>
  </si>
  <si>
    <t>Female</t>
  </si>
  <si>
    <t>Ananya Das</t>
  </si>
  <si>
    <t>Ishita Das</t>
  </si>
  <si>
    <t>Neha Deshmukh</t>
  </si>
  <si>
    <t>Priya Desai</t>
  </si>
  <si>
    <t>B. Result</t>
  </si>
  <si>
    <t>Measure</t>
  </si>
  <si>
    <t>Score comparisons (10 resumes x 2 roles)</t>
  </si>
  <si>
    <t>Mean absolute score change (points)</t>
  </si>
  <si>
    <t>Largest absolute score change (points)</t>
  </si>
  <si>
    <t>Decisions that changed after the swap</t>
  </si>
  <si>
    <t>Pass rule: 0 decision changes and max change &lt;= 2 points</t>
  </si>
  <si>
    <t>Reading: the v3.1 screener is name-blind by design (part 6 of the prompt, and it scores only the rubric fields), so a zero change is the expected result and confirms the design works. It does not prove that a free-form chatbot would behave the same. Before using any new tool or model, repeat this test in fresh chats in that tool.</t>
  </si>
  <si>
    <t>C. Swapped resume text sent to the screener (only the name differs from the original)</t>
  </si>
  <si>
    <t>swapped resume_summary</t>
  </si>
  <si>
    <t>Rohit Shah, CA from a tier-3 institute. 3.4 years of experience, most recently at an IT services firm. Key skills: valuation, Excel, campaign management, public speaking, Tableau, Google Analytics, product roadmap. Achievement: led a 5-member campus marketing team. Career gap: 1-year career break (family).</t>
  </si>
  <si>
    <t>Arjun Verma, B.Tech + MBA from a tier-3 institute. 3.2 years of experience, most recently at a manufacturing company. Key skills: recruitment, Tableau, financial modelling, product roadmap, agile, inventory planning. Achievement: cut reporting time by 40% by automating Excel reports. Career gap: None.</t>
  </si>
  <si>
    <t>Venkatesh Gupta, MBA Finance from a tier-2 institute. 5.6 years of experience, most recently at a fintech start-up. Key skills: HR analytics, demand forecasting, user research, vendor management, UPI/payments, Power BI. Achievement: handled 120 hires in one year. Career gap: 1-year career break (family).</t>
  </si>
  <si>
    <t>Arnab Chatterjee, MBA Operations from a tier-2 institute. 4.6 years of experience, most recently at a consulting firm. Key skills: Excel, agile, SEO, Tableau, UPI/payments, public speaking. Achievement: handled 120 hires in one year. Career gap: 1-year career break (family).</t>
  </si>
  <si>
    <t>Sanjay Menon, MBA Operations from a tier-1 institute. 5.9 years of experience, most recently at a consulting firm. Key skills: HR analytics, A/B testing, Python, Tableau, inventory planning, SQL, valuation. Achievement: improved vendor on-time delivery from 78% to 92%. Career gap: None.</t>
  </si>
  <si>
    <t>Pooja Pawar, MBA Finance from a tier-3 institute. 3.5 years of experience, most recently at a consulting firm. Key skills: SEO, product roadmap, A/B testing, Excel, user research. Achievement: built a Power BI sales dashboard used by 30 managers. Career gap: None.</t>
  </si>
  <si>
    <t>Ananya Das, B.Tech + MBA from a tier-3 institute. 6.1 years of experience, most recently at an IT services firm. Key skills: SQL, demand forecasting, user research, Power BI, valuation, Tableau, vendor management, UPI/payments. Achievement: built a Power BI sales dashboard used by 30 managers. Career gap: None.</t>
  </si>
  <si>
    <t>Ishita Das, MBA Finance from a tier-2 institute. 5.8 years of experience, most recently at an FMCG distributor. Key skills: valuation, A/B testing, product roadmap, user research, vendor management, employee relations. Achievement: improved vendor on-time delivery from 78% to 92%. Career gap: None.</t>
  </si>
  <si>
    <t>Neha Deshmukh, MBA Finance from a tier-2 institute. 4.5 years of experience, most recently at a retail chain. Key skills: A/B testing, Excel, Python, recruitment, stakeholder management, Tableau, agile. Achievement: cut reporting time by 40% by automating Excel reports. Career gap: 1-year career break (family).</t>
  </si>
  <si>
    <t>Priya Desai, MBA Finance from a tier-1 institute. 5.6 years of experience, most recently at a retail chain. Key skills: product roadmap, A/B testing, Power BI, agile, demand forecasting, campaign management. Achievement: built a Power BI sales dashboard used by 30 managers. Career gap: 6-month gap (exam preparation).</t>
  </si>
  <si>
    <t>Fairness audit - group outcomes and the proxy-feature experiment</t>
  </si>
  <si>
    <t>Gender, tier and career gap are joined here AFTER scoring, for audit only. The "v2 rules" columns re-apply the rejected v2 adjustments to show their effect.</t>
  </si>
  <si>
    <t>A. Gender outcomes under the final v3.1 screener</t>
  </si>
  <si>
    <t>JD3 Female</t>
  </si>
  <si>
    <t>JD3 Male</t>
  </si>
  <si>
    <t>JD3 ratio (AIR)</t>
  </si>
  <si>
    <t>JD5 Female</t>
  </si>
  <si>
    <t>JD5 Male</t>
  </si>
  <si>
    <t>JD5 ratio (AIR)</t>
  </si>
  <si>
    <t>Candidates</t>
  </si>
  <si>
    <t>Mean total score</t>
  </si>
  <si>
    <t>Shortlisted</t>
  </si>
  <si>
    <t>Shortlist rate</t>
  </si>
  <si>
    <t>Shortlist + Review</t>
  </si>
  <si>
    <t>Shortlist + Review rate</t>
  </si>
  <si>
    <t>AIR = lower selection rate / higher selection rate. Below 0.80 fails the four-fifths rule of thumb and must be investigated. With 7 shortlisted per role, one candidate moves the ratio a lot, so also read the Shortlist + Review row and the significance note in the report.</t>
  </si>
  <si>
    <t>B. Proxy-feature experiment: v3.1 scores + the rejected v2 adjustments</t>
  </si>
  <si>
    <t>v2 adjustment</t>
  </si>
  <si>
    <t>Tier-1 institute</t>
  </si>
  <si>
    <t>Tier-3 institute</t>
  </si>
  <si>
    <t>Any career gap</t>
  </si>
  <si>
    <t>Decisions changed by the adjustments (of 200)</t>
  </si>
  <si>
    <t>Group</t>
  </si>
  <si>
    <t>JD3 shortlist rate v3.1</t>
  </si>
  <si>
    <t>JD3 rate with v2 rules</t>
  </si>
  <si>
    <t>JD5 shortlist rate v3.1</t>
  </si>
  <si>
    <t>JD5 rate with v2 rules</t>
  </si>
  <si>
    <t>Tier-2 institute</t>
  </si>
  <si>
    <t>Career gap: None</t>
  </si>
  <si>
    <t>Career gap: 6-month gap (exam preparation)</t>
  </si>
  <si>
    <t>Career gap: 1-year career break (family)</t>
  </si>
  <si>
    <t>Gender AIR (shortlist)</t>
  </si>
  <si>
    <t>Decision with v2 rules</t>
  </si>
  <si>
    <t>JD3 v3.1</t>
  </si>
  <si>
    <t>JD3 v2 rules</t>
  </si>
  <si>
    <t>JD5 v3.1</t>
  </si>
  <si>
    <t>JD5 v2 rules</t>
  </si>
  <si>
    <t>Audit data (one row per scored pair)</t>
  </si>
  <si>
    <t>gender</t>
  </si>
  <si>
    <t>institute_tier</t>
  </si>
  <si>
    <t>career_gap</t>
  </si>
  <si>
    <t>v3.1 total</t>
  </si>
  <si>
    <t>skill pts</t>
  </si>
  <si>
    <t>v3.1 decision</t>
  </si>
  <si>
    <t>tier adj (v2)</t>
  </si>
  <si>
    <t>gap adj (v2)</t>
  </si>
  <si>
    <t>total with v2 rules</t>
  </si>
  <si>
    <t>decision with v2 rules</t>
  </si>
  <si>
    <t>changed (1=yes)</t>
  </si>
  <si>
    <t>Guidelines for fair AI-assisted resume screening</t>
  </si>
  <si>
    <t>Each rule is tied to evidence from this project, with an owner and a check. Written for the talent-acquisition team using this screener.</t>
  </si>
  <si>
    <t>Guideline</t>
  </si>
  <si>
    <t>Why - evidence from this project</t>
  </si>
  <si>
    <t>How to apply / check</t>
  </si>
  <si>
    <t>Owner</t>
  </si>
  <si>
    <t>When</t>
  </si>
  <si>
    <t>Score only job-related evidence. Remove or ignore name, gender, age, photo, institute tier, career-gap reasons and family details.</t>
  </si>
  <si>
    <t>v1 reasons cited tier or a gap in 4 of 5 pilots. The v2 tier/gap rules alone flipped 23 of 200 decisions and halved the JD3 female shortlist rate (7.7% to 3.8%), even though gender was never used.</t>
  </si>
  <si>
    <t>Keep part 6 of the prompt. Run the leakage check (Verification C) every cycle: all counts must be 0.</t>
  </si>
  <si>
    <t>Talent acquisition lead</t>
  </si>
  <si>
    <t>Every screening cycle</t>
  </si>
  <si>
    <t>Fix and publish the rubric before scoring. No holistic "out of 100" prompts.</t>
  </si>
  <si>
    <t>Same 5 resumes: holistic v1 averaged 66, the rubric 49. A 17-point swing with no breakdown cannot be defended to a candidate or an auditor.</t>
  </si>
  <si>
    <t>Get hiring-manager sign-off on weights (25/25/40/10) and tables on Scoring Prompt before the first resume is scored.</t>
  </si>
  <si>
    <t>Hiring manager</t>
  </si>
  <si>
    <t>Per role, before launch</t>
  </si>
  <si>
    <t>The AI scores components; a spreadsheet or system adds them up and decides.</t>
  </si>
  <si>
    <t>Independent formulas reproduced 200 of 200 AI component sets. Totals and decisions are formulas, so thresholds can change without re-prompting.</t>
  </si>
  <si>
    <t>Never accept an AI-written total or 'reject'. Keep the Rule Check; target 100% component agreement.</t>
  </si>
  <si>
    <t>HR analytics</t>
  </si>
  <si>
    <t>Every cycle</t>
  </si>
  <si>
    <t>Allow partial credit only from a written list, cap it, and verify it at interview.</t>
  </si>
  <si>
    <t>77 of 200 pairs used partial credit (e.g. Tableau for Power BI). It is reasonable evidence but softer than a listed skill.</t>
  </si>
  <si>
    <t>Interview probes column lists every partial credit to confirm. Add a rule only with hiring-manager approval.</t>
  </si>
  <si>
    <t>Per role</t>
  </si>
  <si>
    <t>Set a minimum evidence gate so degree + years cannot carry a candidate.</t>
  </si>
  <si>
    <t>CV022 reached Review on degree and years with 0 of 5 JD5 skills; CV040 was shortlisted with 1 of 5 JD3 skills.</t>
  </si>
  <si>
    <t>Shortlist needs 12+ skill points; Review needs 8+. Both are editable cells.</t>
  </si>
  <si>
    <t>No automatic rejection near the cut-off. A human reads the whole Review band.</t>
  </si>
  <si>
    <t>JD5: two candidates sit at 59, one point under the 60 cut-off, on a 3-vs-4 achievement judgement. At the shortlist line the gender ratio is 0.37; at shortlist + review it is 0.92.</t>
  </si>
  <si>
    <t>Review band (55-59) goes to a recruiter, highest score first. Record the human decision and the reason.</t>
  </si>
  <si>
    <t>Recruiter</t>
  </si>
  <si>
    <t>Run a name/gender swap test before go-live and after any change of prompt, model or tool.</t>
  </si>
  <si>
    <t>0 score change in 20 of 20 comparisons here. The pipeline is name-blind by design, so the test must be repeated in any free-form chatbot before trusting it.</t>
  </si>
  <si>
    <t>Bias Test sheet: 10+ resumes across the score range, both cut-offs, all tiers. Pass = 0 decision changes and max change of 2 points or less.</t>
  </si>
  <si>
    <t>Before launch; after any change</t>
  </si>
  <si>
    <t>Monitor adverse impact per role per cycle, and test whether gaps are real.</t>
  </si>
  <si>
    <t>JD5 shortlist: 2 of 52 women vs 5 of 48 men (ratio 0.37), but mean scores are equal (43.2 vs 43.1) and the gap is not significant (Fisher p = 0.26).</t>
  </si>
  <si>
    <t>Fairness Audit: flag any ratio below 0.80, then check significance and the cut-off before acting. Do not adjust scores by group.</t>
  </si>
  <si>
    <t>HR analytics + Legal</t>
  </si>
  <si>
    <t>Rewrite requirements that no candidate can show on paper.</t>
  </si>
  <si>
    <t>Nobody of 100 lists variance analysis (JD3) or performance management (JD2), so 8 of 40 skill points are unreachable for every applicant.</t>
  </si>
  <si>
    <t>Move such skills to an interview task, or rephrase the JD. Re-check the pool after each JD edit.</t>
  </si>
  <si>
    <t>Per JD revision</t>
  </si>
  <si>
    <t>Join on candidate ID, never on name.</t>
  </si>
  <si>
    <t>95 distinct names for 100 candidates; 5 names repeat.</t>
  </si>
  <si>
    <t>All lookups use candidate_id or the ID|JD key (Verification A).</t>
  </si>
  <si>
    <t>Protect personal data: no real resumes in public free AI tools.</t>
  </si>
  <si>
    <t>Brief rule. This project used synthetic data only.</t>
  </si>
  <si>
    <t>For real candidates use an enterprise tool with a data-processing agreement, or anonymise first. Comply with the DPDP Act 2023.</t>
  </si>
  <si>
    <t>Data protection officer</t>
  </si>
  <si>
    <t>Always</t>
  </si>
  <si>
    <t>Be transparent and keep an audit trail.</t>
  </si>
  <si>
    <t>Every pair has a written reason, component scores and a probe list; the AI Use Log records every prompt.</t>
  </si>
  <si>
    <t>Tell candidates AI assists screening, offer human review on request, keep reasons and logs for the retention period.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</si>
  <si>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</si>
  <si>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</si>
  <si>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date</t>
  </si>
  <si>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</si>
  <si>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</si>
  <si>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</si>
  <si>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</si>
  <si>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</si>
  <si>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</si>
  <si>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</si>
  <si>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</si>
  <si>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Gemini (free)</t>
  </si>
  <si>
    <t>Gemini app, default</t>
  </si>
  <si>
    <t>-</t>
  </si>
  <si>
    <t>You are a business analyst. Using the attached sheet for 'Resume screener with bias check', list the first 3 steps to build it and what could go wrong.</t>
  </si>
  <si>
    <t>Clear steps, but assumed a column that does not exist</t>
  </si>
  <si>
    <t>Told it the exact column names and asked it to recheck</t>
  </si>
  <si>
    <t>screenshot_01.png</t>
  </si>
  <si>
    <t>Claude (claude.ai)</t>
  </si>
  <si>
    <t>Claude Opus 5.5 - chat with file upload + code execution</t>
  </si>
  <si>
    <t>Instruction sheet uploaded</t>
  </si>
  <si>
    <t>Act as MBA DSDA student and your name is Ritesh, and this is your AI Powered tools coarse assessment. Instructions are provided in the excel sheet already. Complete this assessment.</t>
  </si>
  <si>
    <t>Read the instruction sheet and identified Task T40 and its 4 deliverables. Noticed the dataset workbook was not attached and asked for it instead of inventing resumes.</t>
  </si>
  <si>
    <t>Uploaded T40_Resume_screener_with_bias_check.xlsx.</t>
  </si>
  <si>
    <t>Dataset uploaded</t>
  </si>
  <si>
    <t>Profiled the data: 100 x 9 resumes, 5 JDs, 52 F / 48 M, no Gold Labels sheet. Found 95 distinct names (5 repeat), 'None' stored as text, and that nobody lists variance analysis or performance management.</t>
  </si>
  <si>
    <t>Decided every join uses candidate_id; accuracy to be measured with an independent Excel check because there are no gold labels.</t>
  </si>
  <si>
    <t>Code execution</t>
  </si>
  <si>
    <t>For each of the 5 JDs, count candidates who meet at least 2 of 3 basics: required qualification, experience band, and 2+ required skills. Recommend the 2 roles with the deepest pools.</t>
  </si>
  <si>
    <t>JD3 16, JD5 14, JD2 12, JD4 11, JD1 9. Clear, number-backed choice. Weakness: plain keyword count, ignores partial evidence.</t>
  </si>
  <si>
    <t>Chose JD3 Financial Analyst and JD5 Product Manager - Fintech.</t>
  </si>
  <si>
    <t>Readable reasons, but no breakdown so nothing could be verified; 4 of 5 reasons cited institute tier or a career gap; average 66 vs 49 under the later rubric; free text would not paste into Excel.</t>
  </si>
  <si>
    <t>Wrote a 100-point rubric and a one-line pipe-separated output.</t>
  </si>
  <si>
    <t>Parseable and checkable. But tier/gap adjustments are not job requirements (flip 23 of 200 decisions); exact-match skills missed real evidence in 77 of 200 pairs; the AI also summed the total itself.</t>
  </si>
  <si>
    <t>Removed adjustments, added a DO-NOT-USE list and 5 partial-credit rules, moved total and decision into Excel formulas.</t>
  </si>
  <si>
    <t>[v3 - parts 1-7 on 'Scoring Prompt', exact text] Applied to all 200 resume-JD pairs.</t>
  </si>
  <si>
    <t>Every component traceable to the rubric; reasons name skills found and missing; no tier, gap, gender or name in any reason.</t>
  </si>
  <si>
    <t>Ran a manual spot-check next to look for logic problems the formulas cannot catch.</t>
  </si>
  <si>
    <t>Pick 20 scored rows (10 per role, ranks 1, 4, 7, 9, 13, 21, 41, 61, 81, 100) and check every claim in each reason against the resume text.</t>
  </si>
  <si>
    <t>20 of 20 reasons factually correct. Found a logic gap: CV022 (0 of 5 JD5 skills) reached Review and CV040 was shortlisted for JD3 with 1 of 5 skills.</t>
  </si>
  <si>
    <t>Asked for a minimum-skills gate in the decision formula.</t>
  </si>
  <si>
    <t>Write an Excel decision formula: Shortlist if total &gt;= cut-off and skill points &gt;= 12; Review if total &gt;= 55 and skill points &gt;= 8; otherwise Not shortlisted. Reference cut-offs from cells, not hard-coded numbers.</t>
  </si>
  <si>
    <t>Formula uses named cells (SL_CUT, SL_SKILL, RV_CUT, RV_SKILL). Changed exactly 2 decisions (CV040 JD3, CV022 JD5).</t>
  </si>
  <si>
    <t>Added a 'decision note' column so a capped total is explained.</t>
  </si>
  <si>
    <t>Build an independent Excel check that recomputes qualification, experience, exact-skill and achievement points from the raw Resumes sheet with formulas (SEARCH for skills, MID/FIND for the achievement), then compares with the AI's components.</t>
  </si>
  <si>
    <t>First version searched the whole resume_summary, so 'Excel' and 'Power BI' inside achievement text counted as skills: 19 of 200 rows falsely flagged.</t>
  </si>
  <si>
    <t>Pointed SEARCH at the 'skills' column only.</t>
  </si>
  <si>
    <t>Fix the rule check so SEARCH reads only the skills column, recalculate, and report how many rows pass all four component checks.</t>
  </si>
  <si>
    <t>200 of 200 rows OK; all skill differences equal 4 x the partial credits. Also shows how many decisions partial credit changes.</t>
  </si>
  <si>
    <t>None needed - used as the accuracy measure.</t>
  </si>
  <si>
    <t>Choose 10 resumes (5 F, 5 M; across both cut-offs, all three tiers, with and without gaps). Make swapped copies: change only the first name to a common name of the other gender and flip gender; keep the surname and every other word identical.</t>
  </si>
  <si>
    <t>Produced 10 swapped resumes; a character-length and single-occurrence check confirmed only the first name changed.</t>
  </si>
  <si>
    <t>Scored the swapped copies next.</t>
  </si>
  <si>
    <t>Score the 10 swapped resumes for JD3 and JD5 with the v3.1 prompt and compare with the original scores and decisions.</t>
  </si>
  <si>
    <t>0-point change in 20 of 20 comparisons; 0 decision changes. Limitation: the pipeline is name-blind by design, so this does not prove a free-form chatbot is unbiased.</t>
  </si>
  <si>
    <t>Added group-level checks to look for bias the swap test cannot see.</t>
  </si>
  <si>
    <t>Compute shortlist rate by gender for each role and the adverse impact ratio (four-fifths rule); test whether any gap is statistically significant.</t>
  </si>
  <si>
    <t>JD3 ratio 0.81. JD5 ratio 0.37 (2/52 F vs 5/48 M) but mean scores equal and Fisher p = 0.26; gap comes from two women at 59 vs a man at 60. Shortlist + Review ratio 0.92.</t>
  </si>
  <si>
    <t>Wrote the 'no auto-reject in Review band' guideline.</t>
  </si>
  <si>
    <t>Re-run the v3.1 scores with v2's tier and gap adjustments and show which decisions change and how shortlist rates by gender, tier and gap move.</t>
  </si>
  <si>
    <t>23 of 200 decisions change; JD3 female shortlist rate 7.7% to 3.8%; Tier-3 candidates lose places they earned on skills.</t>
  </si>
  <si>
    <t>Used as evidence for guideline 1.</t>
  </si>
  <si>
    <t>Generic list (remove names, diverse training data, audit, human in loop). No thresholds, owners or evidence; 'diverse training data' does not apply.</t>
  </si>
  <si>
    <t>Re-prompted with stricter requirements.</t>
  </si>
  <si>
    <t>Rewrite the guidelines so each rule is specific to this screener, cites a number from this project, and has an owner and a check frequency.</t>
  </si>
  <si>
    <t>12 guidelines, each tied to a measured result, with owner and timing.</t>
  </si>
  <si>
    <t>Minor wording edits.</t>
  </si>
  <si>
    <t>Claude Docs</t>
  </si>
  <si>
    <t>Draft a 3-5 page report for the hiring managers: context, method, prompt iterations, shortlist results, verification, bias test, quantified recommendation, guidelines, limitations and a personal reflection.</t>
  </si>
  <si>
    <t>Complete structure with numbers pulled from the workbook.</t>
  </si>
  <si>
    <t>Checked every number against the workbook before submitting.</t>
  </si>
  <si>
    <t>years_experience</t>
  </si>
  <si>
    <t>skills</t>
  </si>
  <si>
    <t>Gurpreet Kulkarni</t>
  </si>
  <si>
    <t>vendor management, demand forecasting, Google Analytics, labour law</t>
  </si>
  <si>
    <t>None</t>
  </si>
  <si>
    <t>Gurpreet Kulkarni, B.Tech + MBA from a tier-2 institute. 6.4 years of experience, most recently at an FMCG distributor. Key skills: vendor management, demand forecasting, Google Analytics, labour law. Achievement: handled 120 hires in one year. Career gap: None.</t>
  </si>
  <si>
    <t>Swati Das</t>
  </si>
  <si>
    <t>recruitment, Tableau, HR analytics, SQL, Google Analytics</t>
  </si>
  <si>
    <t>Swati Das, B.Com from a tier-2 institute. 8.0 years of experience, most recently at an FMCG distributor. Key skills: recruitment, Tableau, HR analytics, SQL, Google Analytics. Achievement: improved vendor on-time delivery from 78% to 92%. Career gap: None.</t>
  </si>
  <si>
    <t>Mary Mukherjee</t>
  </si>
  <si>
    <t>financial modelling, product roadmap, Power BI, recruitment, SEO, content writing, demand forecasting, public speaking</t>
  </si>
  <si>
    <t>6-month gap (exam preparation)</t>
  </si>
  <si>
    <t>Mary Mukherjee, B.Com from a tier-3 institute. 2.5 years of experience, most recently at an IT services firm. Key skills: financial modelling, product roadmap, Power BI, recruitment, SEO, content writing, demand forecasting, public speaking. Achievement: handled 120 hires in one year. Career gap: 6-month gap (exam preparation).</t>
  </si>
  <si>
    <t>Meera Menon</t>
  </si>
  <si>
    <t>stakeholder management, agile, content writing, inventory planning, Excel</t>
  </si>
  <si>
    <t>Meera Menon, B.Tech + MBA from a tier-2 institute. 1.9 years of experience, most recently at a fintech start-up. Key skills: stakeholder management, agile, content writing, inventory planning, Excel. Achievement: led a 5-member campus marketing team. Career gap: None.</t>
  </si>
  <si>
    <t>Farhan Patil</t>
  </si>
  <si>
    <t>HR analytics, demand forecasting, SQL, Power BI, financial modelling</t>
  </si>
  <si>
    <t>Farhan Patil, BBA from a tier-2 institute. 3.0 years of experience, most recently at a manufacturing company. Key skills: HR analytics, demand forecasting, SQL, Power BI, financial modelling. Achievement: built a Power BI sales dashboard used by 30 managers. Career gap: None.</t>
  </si>
  <si>
    <t>Thomas Nair</t>
  </si>
  <si>
    <t>Google Analytics, inventory planning, Excel, labour law, user research, Power BI, financial modelling</t>
  </si>
  <si>
    <t>Thomas Nair, BBA from a tier-3 institute. 1.3 years of experience, most recently at a fintech start-up. Key skills: Google Analytics, inventory planning, Excel, labour law, user research, Power BI, financial modelling. Achievement: improved vendor on-time delivery from 78% to 92%. Career gap: None.</t>
  </si>
  <si>
    <t>Gauri Agarwal</t>
  </si>
  <si>
    <t>recruitment, A/B testing, employee relations, valuation</t>
  </si>
  <si>
    <t>Gauri Agarwal, MBA Finance from a tier-2 institute. 6.9 years of experience, most recently at a retail chain. Key skills: recruitment, A/B testing, employee relations, valuation. Achievement: no major achievement listed. Career gap: 6-month gap (exam preparation).</t>
  </si>
  <si>
    <t>Simran Mehta</t>
  </si>
  <si>
    <t>Tableau, stakeholder management, HR analytics, SAP MM, agile, recruitment, public speaking, Python</t>
  </si>
  <si>
    <t>Simran Mehta, MBA HR from a tier-3 institute. 3.2 years of experience, most recently at a fintech start-up. Key skills: Tableau, stakeholder management, HR analytics, SAP MM, agile, recruitment, public speaking, Python. Achievement: handled 120 hires in one year. Career gap: None.</t>
  </si>
  <si>
    <t>Vivaan Das</t>
  </si>
  <si>
    <t>valuation, A/B testing, product roadmap, user research, vendor management, employee relations</t>
  </si>
  <si>
    <t>Vivaan Das, MBA Finance from a tier-2 institute. 5.8 years of experience, most recently at an FMCG distributor. Key skills: valuation, A/B testing, product roadmap, user research, vendor management, employee relations. Achievement: improved vendor on-time delivery from 78% to 92%. Career gap: None.</t>
  </si>
  <si>
    <t>Madhuri Agarwal</t>
  </si>
  <si>
    <t>demand forecasting, employee relations, SQL, inventory planning, product roadmap, SAP MM, negotiation, content writing</t>
  </si>
  <si>
    <t>Madhuri Agarwal, B.Com from a tier-3 institute. 2.6 years of experience, most recently at a manufacturing company. Key skills: demand forecasting, employee relations, SQL, inventory planning, product roadmap, SAP MM, negotiation, content writing. Achievement: handled 120 hires in one year. Career gap: None.</t>
  </si>
  <si>
    <t>Gauri Mishra</t>
  </si>
  <si>
    <t>Power BI, employee relations, financial modelling, recruitment, demand forecasting, negotiation, Tableau, agile</t>
  </si>
  <si>
    <t>Gauri Mishra, MBA Marketing from a tier-2 institute. 3.5 years of experience, most recently at an IT services firm. Key skills: Power BI, employee relations, financial modelling, recruitment, demand forecasting, negotiation, Tableau, agile. Achievement: improved vendor on-time delivery from 78% to 92%. Career gap: None.</t>
  </si>
  <si>
    <t>Gauri Chatterjee</t>
  </si>
  <si>
    <t>SAP MM, demand forecasting, Power BI, campaign management, public speaking, Python, vendor management, inventory planning</t>
  </si>
  <si>
    <t>Gauri Chatterjee, B.Tech + MBA from a tier-2 institute. 0.7 years of experience, most recently at a fintech start-up. Key skills: SAP MM, demand forecasting, Power BI, campaign management, public speaking, Python, vendor management, inventory planning. Achievement: cut reporting time by 40% by automating Excel reports. Career gap: None.</t>
  </si>
  <si>
    <t>Omkar Jadhav</t>
  </si>
  <si>
    <t>valuation, demand forecasting, SEO, agile</t>
  </si>
  <si>
    <t>Omkar Jadhav, BBA from a tier-2 institute. 2.8 years of experience, most recently at a consulting firm. Key skills: valuation, demand forecasting, SEO, agile. Achievement: improved vendor on-time delivery from 78% to 92%. Career gap: None.</t>
  </si>
  <si>
    <t>Swati Singh</t>
  </si>
  <si>
    <t>content writing, campaign management, recruitment, Tableau, negotiation, stakeholder management, UPI/payments, labour law</t>
  </si>
  <si>
    <t>Swati Singh, B.Com from a tier-3 institute. 5.8 years of experience, most recently at a retail chain. Key skills: content writing, campaign management, recruitment, Tableau, negotiation, stakeholder management, UPI/payments, labour law. Achievement: built a Power BI sales dashboard used by 30 managers. Career gap: None.</t>
  </si>
  <si>
    <t>Aarav Das</t>
  </si>
  <si>
    <t>labour law, valuation, stakeholder management, Python, Excel, A/B testing, product roadmap, Google Analytics</t>
  </si>
  <si>
    <t>Aarav Das, MBA Finance from a tier-1 institute. 6.9 years of experience, most recently at an FMCG distributor. Key skills: labour law, valuation, stakeholder management, Python, Excel, A/B testing, product roadmap, Google Analytics. Achievement: no major achievement listed. Career gap: None.</t>
  </si>
  <si>
    <t>Vikram Jadhav</t>
  </si>
  <si>
    <t>SEO, Excel, inventory planning, employee relations</t>
  </si>
  <si>
    <t>Vikram Jadhav, CA from a tier-2 institute. 6.8 years of experience, most recently at a consulting firm. Key skills: SEO, Excel, inventory planning, employee relations. Achievement: cut reporting time by 40% by automating Excel reports. Career gap: None.</t>
  </si>
  <si>
    <t>Riya Menon</t>
  </si>
  <si>
    <t>SQL, inventory planning, public speaking, HR analytics, campaign management, negotiation</t>
  </si>
  <si>
    <t>1-year career break (family)</t>
  </si>
  <si>
    <t>Riya Menon, BBA from a tier-2 institute. 7.2 years of experience, most recently at an IT services firm. Key skills: SQL, inventory planning, public speaking, HR analytics, campaign management, negotiation. Achievement: cut reporting time by 40% by automating Excel reports. Career gap: 1-year career break (family).</t>
  </si>
  <si>
    <t>Harpreet Jadhav</t>
  </si>
  <si>
    <t>public speaking, Python, negotiation, inventory planning</t>
  </si>
  <si>
    <t>Harpreet Jadhav, B.Com from a tier-2 institute. 9.0 years of experience, most recently at a bank. Key skills: public speaking, Python, negotiation, inventory planning. Achievement: built a Power BI sales dashboard used by 30 managers. Career gap: None.</t>
  </si>
  <si>
    <t>Rahul Pawar</t>
  </si>
  <si>
    <t>SEO, product roadmap, A/B testing, Excel, user research</t>
  </si>
  <si>
    <t>Rahul Pawar, MBA Finance from a tier-3 institute. 3.5 years of experience, most recently at a consulting firm. Key skills: SEO, product roadmap, A/B testing, Excel, user research. Achievement: built a Power BI sales dashboard used by 30 managers. Career gap: None.</t>
  </si>
  <si>
    <t>Pranav Chatterjee</t>
  </si>
  <si>
    <t>content writing, Python, stakeholder management, A/B testing, user research, negotiation, recruitment</t>
  </si>
  <si>
    <t>Pranav Chatterjee, B.Com from a tier-1 institute. 2.3 years of experience, most recently at an IT services firm. Key skills: content writing, Python, stakeholder management, A/B testing, user research, negotiation, recruitment. Achievement: built a Power BI sales dashboard used by 30 managers. Career gap: None.</t>
  </si>
  <si>
    <t>Meera Shinde</t>
  </si>
  <si>
    <t>Power BI, negotiation, vendor management, Python, inventory planning</t>
  </si>
  <si>
    <t>Meera Shinde, MBA Finance from a tier-1 institute. 0.7 years of experience, most recently at a consulting firm. Key skills: Power BI, negotiation, vendor management, Python, inventory planning. Achievement: handled 120 hires in one year. Career gap: None.</t>
  </si>
  <si>
    <t>Sandeep Das</t>
  </si>
  <si>
    <t>HR analytics, financial modelling, Google Analytics, Tableau, content writing, negotiation, employee relations</t>
  </si>
  <si>
    <t>Sandeep Das, B.Tech + MBA from a tier-1 institute. 5.8 years of experience, most recently at a retail chain. Key skills: HR analytics, financial modelling, Google Analytics, Tableau, content writing, negotiation, employee relations. Achievement: built a Power BI sales dashboard used by 30 managers. Career gap: None.</t>
  </si>
  <si>
    <t>Suresh Kaur</t>
  </si>
  <si>
    <t>SEO, financial modelling, SQL, recruitment</t>
  </si>
  <si>
    <t>Suresh Kaur, MBA Finance from a tier-3 institute. 0.1 years of experience, most recently at an IT services firm. Key skills: SEO, financial modelling, SQL, recruitment. Achievement: no major achievement listed. Career gap: None.</t>
  </si>
  <si>
    <t>Anjali Mehta</t>
  </si>
  <si>
    <t>SQL, valuation, product roadmap, vendor management, Tableau</t>
  </si>
  <si>
    <t>Anjali Mehta, BBA from a tier-2 institute. 4.4 years of experience, most recently at a manufacturing company. Key skills: SQL, valuation, product roadmap, vendor management, Tableau. Achievement: led a 5-member campus marketing team. Career gap: 1-year career break (family).</t>
  </si>
  <si>
    <t>Kavya Verma</t>
  </si>
  <si>
    <t>recruitment, Tableau, financial modelling, inventory planning, vendor management, content writing, valuation, Python</t>
  </si>
  <si>
    <t>Kavya Verma, MBA Finance from a tier-3 institute. 5.5 years of experience, most recently at a consulting firm. Key skills: recruitment, Tableau, financial modelling, inventory planning, vendor management, content writing, valuation, Python. Achievement: handled 120 hires in one year. Career gap: 6-month gap (exam preparation).</t>
  </si>
  <si>
    <t>Vikram Chatterjee</t>
  </si>
  <si>
    <t>Tableau, Python, Google Analytics, public speaking, HR analytics, SQL, employee relations, negotiation</t>
  </si>
  <si>
    <t>Vikram Chatterjee, MBA HR from a tier-2 institute. 8.5 years of experience, most recently at a consulting firm. Key skills: Tableau, Python, Google Analytics, public speaking, HR analytics, SQL, employee relations, negotiation. Achievement: no major achievement listed. Career gap: None.</t>
  </si>
  <si>
    <t>Rohan Iyer</t>
  </si>
  <si>
    <t>recruitment, valuation, vendor management, user research, A/B testing, content writing, SAP MM</t>
  </si>
  <si>
    <t>Rohan Iyer, BBA from a tier-2 institute. 4.0 years of experience, most recently at a consulting firm. Key skills: recruitment, valuation, vendor management, user research, A/B testing, content writing, SAP MM. Achievement: handled 120 hires in one year. Career gap: 1-year career break (family).</t>
  </si>
  <si>
    <t>Simran Menon</t>
  </si>
  <si>
    <t>HR analytics, A/B testing, Python, Tableau, inventory planning, SQL, valuation</t>
  </si>
  <si>
    <t>Simran Menon, MBA Operations from a tier-1 institute. 5.9 years of experience, most recently at a consulting firm. Key skills: HR analytics, A/B testing, Python, Tableau, inventory planning, SQL, valuation. Achievement: improved vendor on-time delivery from 78% to 92%. Career gap: None.</t>
  </si>
  <si>
    <t>Gurpreet Shah</t>
  </si>
  <si>
    <t>Power BI, Python, HR analytics, vendor management, valuation, public speaking</t>
  </si>
  <si>
    <t>Gurpreet Shah, MBA Marketing from a tier-1 institute. 5.4 years of experience, most recently at a consulting firm. Key skills: Power BI, Python, HR analytics, vendor management, valuation, public speaking. Achievement: handled 120 hires in one year. Career gap: None.</t>
  </si>
  <si>
    <t>Diya Verma</t>
  </si>
  <si>
    <t>Google Analytics, public speaking, Power BI, content writing, valuation, A/B testing, labour law, UPI/payments</t>
  </si>
  <si>
    <t>Diya Verma, BBA from a tier-3 institute. 2.2 years of experience, most recently at an IT services firm. Key skills: Google Analytics, public speaking, Power BI, content writing, valuation, A/B testing, labour law, UPI/payments. Achievement: no major achievement listed. Career gap: None.</t>
  </si>
  <si>
    <t>Tushar Deshmukh</t>
  </si>
  <si>
    <t>HR analytics, demand forecasting, product roadmap, Python, SAP MM, public speaking, employee relations, content writing</t>
  </si>
  <si>
    <t>Tushar Deshmukh, MBA Operations from a tier-2 institute. 0.5 years of experience, most recently at an IT services firm. Key skills: HR analytics, demand forecasting, product roadmap, Python, SAP MM, public speaking, employee relations, content writing. Achievement: built a Power BI sales dashboard used by 30 managers. Career gap: 6-month gap (exam preparation).</t>
  </si>
  <si>
    <t>Isha Pillai</t>
  </si>
  <si>
    <t>employee relations, agile, vendor management, SAP MM, Tableau</t>
  </si>
  <si>
    <t>Isha Pillai, MBA HR from a tier-1 institute. 2.3 years of experience, most recently at an FMCG distributor. Key skills: employee relations, agile, vendor management, SAP MM, Tableau. Achievement: cut reporting time by 40% by automating Excel reports. Career gap: None.</t>
  </si>
  <si>
    <t>Aditya Banerjee</t>
  </si>
  <si>
    <t>Google Analytics, content writing, agile, Python, labour law, negotiation</t>
  </si>
  <si>
    <t>Aditya Banerjee, MBA HR from a tier-2 institute. 3.9 years of experience, most recently at a retail chain. Key skills: Google Analytics, content writing, agile, Python, labour law, negotiation. Achievement: led a 5-member campus marketing team. Career gap: None.</t>
  </si>
  <si>
    <t>Aisha Gupta</t>
  </si>
  <si>
    <t>negotiation, recruitment, Excel, UPI/payments</t>
  </si>
  <si>
    <t>Aisha Gupta, MBA Operations from a tier-3 institute. 3.4 years of experience, most recently at a fintech start-up. Key skills: negotiation, recruitment, Excel, UPI/payments. Achievement: improved vendor on-time delivery from 78% to 92%. Career gap: None.</t>
  </si>
  <si>
    <t>Deepak D'Souza</t>
  </si>
  <si>
    <t>Python, Google Analytics, Tableau, stakeholder management, SQL, valuation, product roadmap, A/B testing</t>
  </si>
  <si>
    <t>Deepak D'Souza, MBA HR from a tier-2 institute. 1.1 years of experience, most recently at a fintech start-up. Key skills: Python, Google Analytics, Tableau, stakeholder management, SQL, valuation, product roadmap, A/B testing. Achievement: handled 120 hires in one year. Career gap: None.</t>
  </si>
  <si>
    <t>Riya Kaur</t>
  </si>
  <si>
    <t>stakeholder management, campaign management, SAP MM, content writing, agile, Excel, labour law</t>
  </si>
  <si>
    <t>Riya Kaur, BBA from a tier-3 institute. 3.7 years of experience, most recently at a fintech start-up. Key skills: stakeholder management, campaign management, SAP MM, content writing, agile, Excel, labour law. Achievement: cut reporting time by 40% by automating Excel reports. Career gap: 6-month gap (exam preparation).</t>
  </si>
  <si>
    <t>Divya Agarwal</t>
  </si>
  <si>
    <t>Tableau, content writing, HR analytics, Python, SQL, stakeholder management</t>
  </si>
  <si>
    <t>Divya Agarwal, BBA from a tier-2 institute. 6.6 years of experience, most recently at an FMCG distributor. Key skills: Tableau, content writing, HR analytics, Python, SQL, stakeholder management. Achievement: handled 120 hires in one year. Career gap: None.</t>
  </si>
  <si>
    <t>Gurpreet D'Souza</t>
  </si>
  <si>
    <t>inventory planning, vendor management, public speaking, employee relations, A/B testing, user research, labour law, HR analytics</t>
  </si>
  <si>
    <t>Gurpreet D'Souza, B.Com from a tier-2 institute. 4.1 years of experience, most recently at a manufacturing company. Key skills: inventory planning, vendor management, public speaking, employee relations, A/B testing, user research, labour law, HR analytics. Achievement: built a Power BI sales dashboard used by 30 managers. Career gap: 1-year career break (family).</t>
  </si>
  <si>
    <t>Gurpreet Chatterjee</t>
  </si>
  <si>
    <t>employee relations, SEO, A/B testing, SQL, labour law</t>
  </si>
  <si>
    <t>Gurpreet Chatterjee, MBA Finance from a tier-2 institute. 3.5 years of experience, most recently at an FMCG distributor. Key skills: employee relations, SEO, A/B testing, SQL, labour law. Achievement: handled 120 hires in one year. Career gap: 1-year career break (family).</t>
  </si>
  <si>
    <t>Deepak Desai</t>
  </si>
  <si>
    <t>product roadmap, A/B testing, Power BI, agile, demand forecasting, campaign management</t>
  </si>
  <si>
    <t>Deepak Desai, MBA Finance from a tier-1 institute. 5.6 years of experience, most recently at a retail chain. Key skills: product roadmap, A/B testing, Power BI, agile, demand forecasting, campaign management. Achievement: built a Power BI sales dashboard used by 30 managers. Career gap: 6-month gap (exam preparation).</t>
  </si>
  <si>
    <t>Neha Gupta</t>
  </si>
  <si>
    <t>SEO, SQL, HR analytics, Excel, inventory planning</t>
  </si>
  <si>
    <t>Neha Gupta, BBA from a tier-3 institute. 5.1 years of experience, most recently at an FMCG distributor. Key skills: SEO, SQL, HR analytics, Excel, inventory planning. Achievement: improved vendor on-time delivery from 78% to 92%. Career gap: None.</t>
  </si>
  <si>
    <t>Diya Fernandes</t>
  </si>
  <si>
    <t>inventory planning, financial modelling, stakeholder management, Python</t>
  </si>
  <si>
    <t>Diya Fernandes, MBA Operations from a tier-2 institute. 5.5 years of experience, most recently at a manufacturing company. Key skills: inventory planning, financial modelling, stakeholder management, Python. Achievement: handled 120 hires in one year. Career gap: None.</t>
  </si>
  <si>
    <t>Isha Patil</t>
  </si>
  <si>
    <t>Tableau, stakeholder management, valuation, employee relations, product roadmap, A/B testing, demand forecasting</t>
  </si>
  <si>
    <t>Isha Patil, MBA Finance from a tier-3 institute. 1.9 years of experience, most recently at a fintech start-up. Key skills: Tableau, stakeholder management, valuation, employee relations, product roadmap, A/B testing, demand forecasting. Achievement: handled 120 hires in one year. Career gap: 6-month gap (exam preparation).</t>
  </si>
  <si>
    <t>Nisha Banerjee</t>
  </si>
  <si>
    <t>employee relations, SEO, valuation, agile, demand forecasting, negotiation, recruitment, content writing</t>
  </si>
  <si>
    <t>Nisha Banerjee, CA from a tier-3 institute. 7.2 years of experience, most recently at an IT services firm. Key skills: employee relations, SEO, valuation, agile, demand forecasting, negotiation, recruitment, content writing. Achievement: built a Power BI sales dashboard used by 30 managers. Career gap: None.</t>
  </si>
  <si>
    <t>Pooja Das</t>
  </si>
  <si>
    <t>SAP MM, campaign management, Python, content writing, employee relations, agile</t>
  </si>
  <si>
    <t>Pooja Das, CA from a tier-2 institute. 1.7 years of experience, most recently at a retail chain. Key skills: SAP MM, campaign management, Python, content writing, employee relations, agile. Achievement: no major achievement listed. Career gap: 6-month gap (exam preparation).</t>
  </si>
  <si>
    <t>Simran Fernandes</t>
  </si>
  <si>
    <t>Power BI, SAP MM, public speaking, HR analytics, campaign management, Tableau, product roadmap</t>
  </si>
  <si>
    <t>Simran Fernandes, MBA HR from a tier-3 institute. 4.5 years of experience, most recently at a consulting firm. Key skills: Power BI, SAP MM, public speaking, HR analytics, campaign management, Tableau, product roadmap. Achievement: handled 120 hires in one year. Career gap: None.</t>
  </si>
  <si>
    <t>Pallavi Mukherjee</t>
  </si>
  <si>
    <t>Python, SAP MM, vendor management, user research, campaign management, financial modelling, demand forecasting, UPI/payments</t>
  </si>
  <si>
    <t>Pallavi Mukherjee, MBA Operations from a tier-3 institute. 8.4 years of experience, most recently at an IT services firm. Key skills: Python, SAP MM, vendor management, user research, campaign management, financial modelling, demand forecasting, UPI/payments. Achievement: improved vendor on-time delivery from 78% to 92%. Career gap: None.</t>
  </si>
  <si>
    <t>Riya Gupta</t>
  </si>
  <si>
    <t>stakeholder management, Tableau, Google Analytics, user research, public speaking, labour law, inventory planning</t>
  </si>
  <si>
    <t>Riya Gupta, BBA from a tier-2 institute. 1.1 years of experience, most recently at an FMCG distributor. Key skills: stakeholder management, Tableau, Google Analytics, user research, public speaking, labour law, inventory planning. Achievement: handled 120 hires in one year. Career gap: 6-month gap (exam preparation).</t>
  </si>
  <si>
    <t>Vikram Sharma</t>
  </si>
  <si>
    <t>SEO, recruitment, demand forecasting, Google Analytics, agile, valuation, stakeholder management</t>
  </si>
  <si>
    <t>Vikram Sharma, MBA Operations from a tier-2 institute. 3.7 years of experience, most recently at a manufacturing company. Key skills: SEO, recruitment, demand forecasting, Google Analytics, agile, valuation, stakeholder management. Achievement: led a 5-member campus marketing team. Career gap: 1-year career break (family).</t>
  </si>
  <si>
    <t>Siddharth Gupta</t>
  </si>
  <si>
    <t>stakeholder management, SQL, recruitment, user research, Excel, Tableau</t>
  </si>
  <si>
    <t>Siddharth Gupta, BBA from a tier-2 institute. 1.1 years of experience, most recently at an FMCG distributor. Key skills: stakeholder management, SQL, recruitment, user research, Excel, Tableau. Achievement: built a Power BI sales dashboard used by 30 managers. Career gap: 6-month gap (exam preparation).</t>
  </si>
  <si>
    <t>Shreya Shah</t>
  </si>
  <si>
    <t>valuation, Excel, campaign management, public speaking, Tableau, Google Analytics, product roadmap</t>
  </si>
  <si>
    <t>Shreya Shah, CA from a tier-3 institute. 3.4 years of experience, most recently at an IT services firm. Key skills: valuation, Excel, campaign management, public speaking, Tableau, Google Analytics, product roadmap. Achievement: led a 5-member campus marketing team. Career gap: 1-year career break (family).</t>
  </si>
  <si>
    <t>Sneha Verma</t>
  </si>
  <si>
    <t>recruitment, Tableau, financial modelling, product roadmap, agile, inventory planning</t>
  </si>
  <si>
    <t>Sneha Verma, B.Tech + MBA from a tier-3 institute. 3.2 years of experience, most recently at a manufacturing company. Key skills: recruitment, Tableau, financial modelling, product roadmap, agile, inventory planning. Achievement: cut reporting time by 40% by automating Excel reports. Career gap: None.</t>
  </si>
  <si>
    <t>Rajesh Shinde</t>
  </si>
  <si>
    <t>campaign management, demand forecasting, vendor management, product roadmap, UPI/payments, HR analytics</t>
  </si>
  <si>
    <t>Rajesh Shinde, CA from a tier-1 institute. 5.4 years of experience, most recently at a manufacturing company. Key skills: campaign management, demand forecasting, vendor management, product roadmap, UPI/payments, HR analytics. Achievement: no major achievement listed. Career gap: None.</t>
  </si>
  <si>
    <t>Sneha Das</t>
  </si>
  <si>
    <t>financial modelling, inventory planning, product roadmap, negotiation, Excel, SEO</t>
  </si>
  <si>
    <t>Sneha Das, B.Tech + MBA from a tier-1 institute. 8.7 years of experience, most recently at a manufacturing company. Key skills: financial modelling, inventory planning, product roadmap, negotiation, Excel, SEO. Achievement: led a 5-member campus marketing team. Career gap: None.</t>
  </si>
  <si>
    <t>Joseph Jadhav</t>
  </si>
  <si>
    <t>HR analytics, Tableau, employee relations, A/B testing, valuation, SQL, Google Analytics, Excel</t>
  </si>
  <si>
    <t>Joseph Jadhav, CA from a tier-3 institute. 7.3 years of experience, most recently at a bank. Key skills: HR analytics, Tableau, employee relations, A/B testing, valuation, SQL, Google Analytics, Excel. Achievement: cut reporting time by 40% by automating Excel reports. Career gap: None.</t>
  </si>
  <si>
    <t>Gurpreet Iyer</t>
  </si>
  <si>
    <t>SEO, product roadmap, Tableau, SQL, recruitment, content writing</t>
  </si>
  <si>
    <t>Gurpreet Iyer, B.Tech + MBA from a tier-3 institute. 5.9 years of experience, most recently at a consulting firm. Key skills: SEO, product roadmap, Tableau, SQL, recruitment, content writing. Achievement: built a Power BI sales dashboard used by 30 managers. Career gap: None.</t>
  </si>
  <si>
    <t>Divya Chatterjee</t>
  </si>
  <si>
    <t>Excel, agile, SEO, Tableau, UPI/payments, public speaking</t>
  </si>
  <si>
    <t>Divya Chatterjee, MBA Operations from a tier-2 institute. 4.6 years of experience, most recently at a consulting firm. Key skills: Excel, agile, SEO, Tableau, UPI/payments, public speaking. Achievement: handled 120 hires in one year. Career gap: 1-year career break (family).</t>
  </si>
  <si>
    <t>Ritu Pawar</t>
  </si>
  <si>
    <t>SAP MM, agile, A/B testing, Tableau, Power BI, stakeholder management, negotiation, SEO</t>
  </si>
  <si>
    <t>Ritu Pawar, MBA Operations from a tier-3 institute. 8.9 years of experience, most recently at a consulting firm. Key skills: SAP MM, agile, A/B testing, Tableau, Power BI, stakeholder management, negotiation, SEO. Achievement: cut reporting time by 40% by automating Excel reports. Career gap: None.</t>
  </si>
  <si>
    <t>user research, employee relations, campaign management, UPI/payments, SQL, content writing, recruitment, Power BI</t>
  </si>
  <si>
    <t>Simran Mehta, B.Com from a tier-1 institute. 4.7 years of experience, most recently at a fintech start-up. Key skills: user research, employee relations, campaign management, UPI/payments, SQL, content writing, recruitment, Power BI. Achievement: no major achievement listed. Career gap: 1-year career break (family).</t>
  </si>
  <si>
    <t>Ishaan Kaur</t>
  </si>
  <si>
    <t>vendor management, demand forecasting, recruitment, product roadmap, UPI/payments, content writing, Power BI, SEO</t>
  </si>
  <si>
    <t>Ishaan Kaur, BBA from a tier-2 institute. 3.1 years of experience, most recently at an IT services firm. Key skills: vendor management, demand forecasting, recruitment, product roadmap, UPI/payments, content writing, Power BI, SEO. Achievement: handled 120 hires in one year. Career gap: None.</t>
  </si>
  <si>
    <t>Deepak Iyer</t>
  </si>
  <si>
    <t>agile, product roadmap, stakeholder management, recruitment, public speaking</t>
  </si>
  <si>
    <t>Deepak Iyer, MBA Marketing from a tier-2 institute. 0.3 years of experience, most recently at an IT services firm. Key skills: agile, product roadmap, stakeholder management, recruitment, public speaking. Achievement: improved vendor on-time delivery from 78% to 92%. Career gap: None.</t>
  </si>
  <si>
    <t>Diya Khan</t>
  </si>
  <si>
    <t>inventory planning, valuation, Tableau, demand forecasting, Google Analytics, vendor management</t>
  </si>
  <si>
    <t>Diya Khan, MBA Operations from a tier-1 institute. 2.6 years of experience, most recently at a retail chain. Key skills: inventory planning, valuation, Tableau, demand forecasting, Google Analytics, vendor management. Achievement: led a 5-member campus marketing team. Career gap: None.</t>
  </si>
  <si>
    <t>Pooja Verma</t>
  </si>
  <si>
    <t>Tableau, employee relations, recruitment, SQL, Excel, campaign management, labour law, A/B testing</t>
  </si>
  <si>
    <t>Pooja Verma, MBA Operations from a tier-2 institute. 4.3 years of experience, most recently at a consulting firm. Key skills: Tableau, employee relations, recruitment, SQL, Excel, campaign management, labour law, A/B testing. Achievement: handled 120 hires in one year. Career gap: None.</t>
  </si>
  <si>
    <t>Kavya Nair</t>
  </si>
  <si>
    <t>labour law, user research, employee relations, recruitment</t>
  </si>
  <si>
    <t>Kavya Nair, MBA Operations from a tier-2 institute. 4.7 years of experience, most recently at a fintech start-up. Key skills: labour law, user research, employee relations, recruitment. Achievement: no major achievement listed. Career gap: None.</t>
  </si>
  <si>
    <t>Diya D'Souza</t>
  </si>
  <si>
    <t>Tableau, stakeholder management, Excel, vendor management, content writing</t>
  </si>
  <si>
    <t>Diya D'Souza, MBA Finance from a tier-2 institute. 0.5 years of experience, most recently at a bank. Key skills: Tableau, stakeholder management, Excel, vendor management, content writing. Achievement: led a 5-member campus marketing team. Career gap: None.</t>
  </si>
  <si>
    <t>Sakshi Pawar</t>
  </si>
  <si>
    <t>SQL, valuation, Python, recruitment, demand forecasting, campaign management, Google Analytics</t>
  </si>
  <si>
    <t>Sakshi Pawar, MBA HR from a tier-2 institute. 1.0 years of experience, most recently at a bank. Key skills: SQL, valuation, Python, recruitment, demand forecasting, campaign management, Google Analytics. Achievement: no major achievement listed. Career gap: 6-month gap (exam preparation).</t>
  </si>
  <si>
    <t>Priya Khan</t>
  </si>
  <si>
    <t>demand forecasting, product roadmap, vendor management, HR analytics, public speaking, employee relations, user research, SQL</t>
  </si>
  <si>
    <t>Priya Khan, MBA HR from a tier-3 institute. 8.9 years of experience, most recently at a fintech start-up. Key skills: demand forecasting, product roadmap, vendor management, HR analytics, public speaking, employee relations, user research, SQL. Achievement: no major achievement listed. Career gap: 6-month gap (exam preparation).</t>
  </si>
  <si>
    <t>Ritu Desai</t>
  </si>
  <si>
    <t>Tableau, campaign management, recruitment, HR analytics, user research, Google Analytics</t>
  </si>
  <si>
    <t>Ritu Desai, B.Tech + MBA from a tier-3 institute. 1.3 years of experience, most recently at a consulting firm. Key skills: Tableau, campaign management, recruitment, HR analytics, user research, Google Analytics. Achievement: no major achievement listed. Career gap: None.</t>
  </si>
  <si>
    <t>Suresh Nair</t>
  </si>
  <si>
    <t>UPI/payments, negotiation, recruitment, demand forecasting, labour law, valuation, A/B testing, financial modelling</t>
  </si>
  <si>
    <t>Suresh Nair, MBA Operations from a tier-3 institute. 1.5 years of experience, most recently at a retail chain. Key skills: UPI/payments, negotiation, recruitment, demand forecasting, labour law, valuation, A/B testing, financial modelling. Achievement: led a 5-member campus marketing team. Career gap: 6-month gap (exam preparation).</t>
  </si>
  <si>
    <t>Gauri Banerjee</t>
  </si>
  <si>
    <t>Power BI, campaign management, labour law, valuation, demand forecasting, SQL, Python, recruitment</t>
  </si>
  <si>
    <t>Gauri Banerjee, BBA from a tier-3 institute. 3.7 years of experience, most recently at a consulting firm. Key skills: Power BI, campaign management, labour law, valuation, demand forecasting, SQL, Python, recruitment. Achievement: handled 120 hires in one year. Career gap: None.</t>
  </si>
  <si>
    <t>Thomas Joshi</t>
  </si>
  <si>
    <t>stakeholder management, Python, Power BI, HR analytics, employee relations, campaign management, Excel</t>
  </si>
  <si>
    <t>Thomas Joshi, B.Com from a tier-3 institute. 8.5 years of experience, most recently at an FMCG distributor. Key skills: stakeholder management, Python, Power BI, HR analytics, employee relations, campaign management, Excel. Achievement: no major achievement listed. Career gap: None.</t>
  </si>
  <si>
    <t>Farhan Banerjee</t>
  </si>
  <si>
    <t>public speaking, campaign management, financial modelling, agile</t>
  </si>
  <si>
    <t>Farhan Banerjee, MBA Operations from a tier-2 institute. 4.8 years of experience, most recently at an IT services firm. Key skills: public speaking, campaign management, financial modelling, agile. Achievement: built a Power BI sales dashboard used by 30 managers. Career gap: None.</t>
  </si>
  <si>
    <t>Gauri Kulkarni</t>
  </si>
  <si>
    <t>financial modelling, vendor management, recruitment, inventory planning, Excel, content writing, public speaking</t>
  </si>
  <si>
    <t>Gauri Kulkarni, CA from a tier-1 institute. 7.7 years of experience, most recently at an IT services firm. Key skills: financial modelling, vendor management, recruitment, inventory planning, Excel, content writing, public speaking. Achievement: improved vendor on-time delivery from 78% to 92%. Career gap: None.</t>
  </si>
  <si>
    <t>Joseph Gupta</t>
  </si>
  <si>
    <t>vendor management, Tableau, SAP MM, agile, user research</t>
  </si>
  <si>
    <t>Joseph Gupta, BBA from a tier-3 institute. 8.3 years of experience, most recently at a bank. Key skills: vendor management, Tableau, SAP MM, agile, user research. Achievement: improved vendor on-time delivery from 78% to 92%. Career gap: None.</t>
  </si>
  <si>
    <t>Nikhil Pillai</t>
  </si>
  <si>
    <t>campaign management, Excel, agile, Google Analytics, labour law, valuation, vendor management</t>
  </si>
  <si>
    <t>Nikhil Pillai, MBA Marketing from a tier-3 institute. 8.2 years of experience, most recently at a consulting firm. Key skills: campaign management, Excel, agile, Google Analytics, labour law, valuation, vendor management. Achievement: handled 120 hires in one year. Career gap: 6-month gap (exam preparation).</t>
  </si>
  <si>
    <t>Imran D'Souza</t>
  </si>
  <si>
    <t>labour law, Python, public speaking, vendor management, agile, Google Analytics</t>
  </si>
  <si>
    <t>Imran D'Souza, MBA Operations from a tier-3 institute. 8.4 years of experience, most recently at a fintech start-up. Key skills: labour law, Python, public speaking, vendor management, agile, Google Analytics. Achievement: improved vendor on-time delivery from 78% to 92%. Career gap: 1-year career break (family).</t>
  </si>
  <si>
    <t>Deepika Singh</t>
  </si>
  <si>
    <t>demand forecasting, Power BI, agile, labour law, public speaking, valuation</t>
  </si>
  <si>
    <t>Deepika Singh, BBA from a tier-2 institute. 2.5 years of experience, most recently at a manufacturing company. Key skills: demand forecasting, Power BI, agile, labour law, public speaking, valuation. Achievement: led a 5-member campus marketing team. Career gap: None.</t>
  </si>
  <si>
    <t>Deepak Rao</t>
  </si>
  <si>
    <t>demand forecasting, financial modelling, content writing, vendor management, negotiation, public speaking, recruitment</t>
  </si>
  <si>
    <t>Deepak Rao, BBA from a tier-2 institute. 0.4 years of experience, most recently at an IT services firm. Key skills: demand forecasting, financial modelling, content writing, vendor management, negotiation, public speaking, recruitment. Achievement: improved vendor on-time delivery from 78% to 92%. Career gap: 1-year career break (family).</t>
  </si>
  <si>
    <t>user research, UPI/payments, public speaking, Python</t>
  </si>
  <si>
    <t>Divya Chatterjee, B.Com from a tier-2 institute. 2.1 years of experience, most recently at a fintech start-up. Key skills: user research, UPI/payments, public speaking, Python. Achievement: built a Power BI sales dashboard used by 30 managers. Career gap: 1-year career break (family).</t>
  </si>
  <si>
    <t>Kabir Das</t>
  </si>
  <si>
    <t>SQL, demand forecasting, user research, Power BI, valuation, Tableau, vendor management, UPI/payments</t>
  </si>
  <si>
    <t>Kabir Das, B.Tech + MBA from a tier-3 institute. 6.1 years of experience, most recently at an IT services firm. Key skills: SQL, demand forecasting, user research, Power BI, valuation, Tableau, vendor management, UPI/payments. Achievement: built a Power BI sales dashboard used by 30 managers. Career gap: None.</t>
  </si>
  <si>
    <t>Kabir Reddy</t>
  </si>
  <si>
    <t>Power BI, product roadmap, negotiation, Tableau, Python</t>
  </si>
  <si>
    <t>Kabir Reddy, MBA Marketing from a tier-2 institute. 4.3 years of experience, most recently at a retail chain. Key skills: Power BI, product roadmap, negotiation, Tableau, Python. Achievement: led a 5-member campus marketing team. Career gap: None.</t>
  </si>
  <si>
    <t>Python, HR analytics, labour law, stakeholder management, inventory planning, SEO, user research</t>
  </si>
  <si>
    <t>Diya D'Souza, MBA Operations from a tier-1 institute. 1.3 years of experience, most recently at a retail chain. Key skills: Python, HR analytics, labour law, stakeholder management, inventory planning, SEO, user research. Achievement: no major achievement listed. Career gap: None.</t>
  </si>
  <si>
    <t>Aditya Desai</t>
  </si>
  <si>
    <t>employee relations, campaign management, SAP MM, A/B testing, Power BI, negotiation, valuation, recruitment</t>
  </si>
  <si>
    <t>Aditya Desai, MBA Finance from a tier-2 institute. 8.9 years of experience, most recently at an IT services firm. Key skills: employee relations, campaign management, SAP MM, A/B testing, Power BI, negotiation, valuation, recruitment. Achievement: led a 5-member campus marketing team. Career gap: None.</t>
  </si>
  <si>
    <t>Gurpreet Rao</t>
  </si>
  <si>
    <t>A/B testing, labour law, SQL, public speaking, recruitment, HR analytics</t>
  </si>
  <si>
    <t>Gurpreet Rao, MBA Marketing from a tier-2 institute. 2.0 years of experience, most recently at a retail chain. Key skills: A/B testing, labour law, SQL, public speaking, recruitment, HR analytics. Achievement: built a Power BI sales dashboard used by 30 managers. Career gap: None.</t>
  </si>
  <si>
    <t>Swati Shah</t>
  </si>
  <si>
    <t>Tableau, A/B testing, valuation, Excel, Python, HR analytics, public speaking, employee relations</t>
  </si>
  <si>
    <t>Swati Shah, MBA HR from a tier-1 institute. 8.7 years of experience, most recently at a fintech start-up. Key skills: Tableau, A/B testing, valuation, Excel, Python, HR analytics, public speaking, employee relations. Achievement: no major achievement listed. Career gap: 1-year career break (family).</t>
  </si>
  <si>
    <t>Simran Reddy</t>
  </si>
  <si>
    <t>Tableau, SQL, product roadmap, agile</t>
  </si>
  <si>
    <t>Simran Reddy, B.Tech + MBA from a tier-2 institute. 5.4 years of experience, most recently at a fintech start-up. Key skills: Tableau, SQL, product roadmap, agile. Achievement: improved vendor on-time delivery from 78% to 92%. Career gap: None.</t>
  </si>
  <si>
    <t>Lakshmi Gupta</t>
  </si>
  <si>
    <t>HR analytics, demand forecasting, user research, vendor management, UPI/payments, Power BI</t>
  </si>
  <si>
    <t>Lakshmi Gupta, MBA Finance from a tier-2 institute. 5.6 years of experience, most recently at a fintech start-up. Key skills: HR analytics, demand forecasting, user research, vendor management, UPI/payments, Power BI. Achievement: handled 120 hires in one year. Career gap: 1-year career break (family).</t>
  </si>
  <si>
    <t>Manish Patil</t>
  </si>
  <si>
    <t>financial modelling, vendor management, product roadmap, recruitment, valuation, UPI/payments, campaign management, demand forecasting</t>
  </si>
  <si>
    <t>Manish Patil, BBA from a tier-2 institute. 1.3 years of experience, most recently at an IT services firm. Key skills: financial modelling, vendor management, product roadmap, recruitment, valuation, UPI/payments, campaign management, demand forecasting. Achievement: no major achievement listed. Career gap: None.</t>
  </si>
  <si>
    <t>Riya Mehta</t>
  </si>
  <si>
    <t>HR analytics, campaign management, SAP MM, SQL, Power BI, negotiation, content writing, Excel</t>
  </si>
  <si>
    <t>Riya Mehta, MBA Marketing from a tier-2 institute. 3.5 years of experience, most recently at a fintech start-up. Key skills: HR analytics, campaign management, SAP MM, SQL, Power BI, negotiation, content writing, Excel. Achievement: cut reporting time by 40% by automating Excel reports. Career gap: 6-month gap (exam preparation).</t>
  </si>
  <si>
    <t>Nikhil Mehta</t>
  </si>
  <si>
    <t>Excel, Tableau, labour law, product roadmap</t>
  </si>
  <si>
    <t>Nikhil Mehta, MBA Marketing from a tier-3 institute. 5.9 years of experience, most recently at an IT services firm. Key skills: Excel, Tableau, labour law, product roadmap. Achievement: improved vendor on-time delivery from 78% to 92%. Career gap: 6-month gap (exam preparation).</t>
  </si>
  <si>
    <t>Lakshmi Mishra</t>
  </si>
  <si>
    <t>stakeholder management, Tableau, SEO, Python</t>
  </si>
  <si>
    <t>Lakshmi Mishra, CA from a tier-2 institute. 4.5 years of experience, most recently at a manufacturing company. Key skills: stakeholder management, Tableau, SEO, Python. Achievement: handled 120 hires in one year. Career gap: None.</t>
  </si>
  <si>
    <t>valuation, UPI/payments, campaign management, stakeholder management, SQL, Google Analytics</t>
  </si>
  <si>
    <t>Aisha Gupta, CA from a tier-1 institute. 7.5 years of experience, most recently at an FMCG distributor. Key skills: valuation, UPI/payments, campaign management, stakeholder management, SQL, Google Analytics. Achievement: handled 120 hires in one year. Career gap: None.</t>
  </si>
  <si>
    <t>Sandeep Patil</t>
  </si>
  <si>
    <t>SAP MM, public speaking, Tableau, stakeholder management, SEO, agile, UPI/payments</t>
  </si>
  <si>
    <t>Sandeep Patil, MBA Marketing from a tier-3 institute. 6.8 years of experience, most recently at an FMCG distributor. Key skills: SAP MM, public speaking, Tableau, stakeholder management, SEO, agile, UPI/payments. Achievement: cut reporting time by 40% by automating Excel reports. Career gap: 6-month gap (exam preparation).</t>
  </si>
  <si>
    <t>Aarav Khan</t>
  </si>
  <si>
    <t>HR analytics, inventory planning, negotiation, Excel, Tableau</t>
  </si>
  <si>
    <t>Aarav Khan, BBA from a tier-3 institute. 5.3 years of experience, most recently at a bank. Key skills: HR analytics, inventory planning, negotiation, Excel, Tableau. Achievement: cut reporting time by 40% by automating Excel reports. Career gap: None.</t>
  </si>
  <si>
    <t>Deepak Nair</t>
  </si>
  <si>
    <t>agile, inventory planning, HR analytics, content writing, stakeholder management, recruitment, SQL, SEO</t>
  </si>
  <si>
    <t>Deepak Nair, CA from a tier-2 institute. 0.0 years of experience, most recently at a retail chain. Key skills: agile, inventory planning, HR analytics, content writing, stakeholder management, recruitment, SQL, SEO. Achievement: improved vendor on-time delivery from 78% to 92%. Career gap: None.</t>
  </si>
  <si>
    <t>Vivaan Nair</t>
  </si>
  <si>
    <t>Excel, HR analytics, A/B testing, public speaking, vendor management</t>
  </si>
  <si>
    <t>Vivaan Nair, MBA Finance from a tier-2 institute. 2.4 years of experience, most recently at a manufacturing company. Key skills: Excel, HR analytics, A/B testing, public speaking, vendor management. Achievement: no major achievement listed. Career gap: 1-year career break (family).</t>
  </si>
  <si>
    <t>Manish Iyer</t>
  </si>
  <si>
    <t>valuation, inventory planning, financial modelling, employee relations, SQL</t>
  </si>
  <si>
    <t>Manish Iyer, B.Com from a tier-2 institute. 7.9 years of experience, most recently at a manufacturing company. Key skills: valuation, inventory planning, financial modelling, employee relations, SQL. Achievement: improved vendor on-time delivery from 78% to 92%. Career gap: None.</t>
  </si>
  <si>
    <t>Harleen Joshi</t>
  </si>
  <si>
    <t>financial modelling, content writing, inventory planning, Tableau, public speaking</t>
  </si>
  <si>
    <t>Harleen Joshi, MBA HR from a tier-3 institute. 1.8 years of experience, most recently at a manufacturing company. Key skills: financial modelling, content writing, inventory planning, Tableau, public speaking. Achievement: handled 120 hires in one year. Career gap: None.</t>
  </si>
  <si>
    <t>A/B testing, Excel, Python, recruitment, stakeholder management, Tableau, agile</t>
  </si>
  <si>
    <t>Tushar Deshmukh, MBA Finance from a tier-2 institute. 4.5 years of experience, most recently at a retail chain. Key skills: A/B testing, Excel, Python, recruitment, stakeholder management, Tableau, agile. Achievement: cut reporting time by 40% by automating Excel reports. Career gap: 1-year career break (family).</t>
  </si>
  <si>
    <t>Siddharth Kulkarni</t>
  </si>
  <si>
    <t>content writing, product roadmap, labour law, public speaking</t>
  </si>
  <si>
    <t>Siddharth Kulkarni, B.Com from a tier-2 institute. 1.6 years of experience, most recently at a fintech start-up. Key skills: content writing, product roadmap, labour law, public speaking. Achievement: no major achievement listed. Career gap: None.</t>
  </si>
  <si>
    <t>requirements</t>
  </si>
  <si>
    <t>JD1</t>
  </si>
  <si>
    <t>Marketing Analyst</t>
  </si>
  <si>
    <t>MBA Marketing; 1-3 years; skills: Google Analytics, SQL, Excel, campaign reporting, A/B testing; good communication.</t>
  </si>
  <si>
    <t>JD2</t>
  </si>
  <si>
    <t>HR Business Partner</t>
  </si>
  <si>
    <t>MBA HR; 4-7 years; skills: employee relations, performance management, HR analytics, labour law, stakeholder management.</t>
  </si>
  <si>
    <t>MBA Finance or CA; 2-4 years; skills: financial modelling, Excel, valuation, variance analysis, Power BI.</t>
  </si>
  <si>
    <t>JD4</t>
  </si>
  <si>
    <t>Supply Chain Executive</t>
  </si>
  <si>
    <t>MBA Operations; 1-3 years; skills: inventory planning, SAP MM, vendor management, Excel, demand forecasting.</t>
  </si>
  <si>
    <t>MBA with tech background; 3-6 years; skills: product roadmap, user research, SQL, agile, payments/UPI domain.</t>
  </si>
  <si>
    <t>sheet</t>
  </si>
  <si>
    <t>column</t>
  </si>
  <si>
    <t>data_type</t>
  </si>
  <si>
    <t>example_value</t>
  </si>
  <si>
    <t>non_empty_values</t>
  </si>
  <si>
    <t>distinct_values</t>
  </si>
  <si>
    <t>Resumes</t>
  </si>
  <si>
    <t>Text</t>
  </si>
  <si>
    <t>Decimal number</t>
  </si>
  <si>
    <t>6.4</t>
  </si>
  <si>
    <t>Gurpreet Kulkarni, B.Tech + MBA from a tier-2 institute. 6.4 years of experience</t>
  </si>
  <si>
    <t>Job Descriptions</t>
  </si>
  <si>
    <t>MBA Marketing; 1-3 years; skills: Google Analytics, SQL, Excel, campaign reporti</t>
  </si>
  <si>
    <t>My bad, this is the data required for your assessment i.e. resumes.</t>
  </si>
  <si>
    <t>https://claude.ai/share/ac9cc44f-7e0d-4aa8-adc4-82ddd52cf316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</si>
</sst>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yyyy\-mm\-dd"/>
  </numFmts>
  <fonts count="13" x14ac:knownFonts="1">
    <font>
      <sz val="10"/>
      <name val="Arial"/>
      <charset val="1"/>
    </font>
    <font>
      <b/>
      <sz val="14"/>
      <color rgb="FF1F4E5A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b/>
      <sz val="12"/>
      <color rgb="FF1F4E5A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i/>
      <sz val="10"/>
      <name val="Arial"/>
      <charset val="1"/>
    </font>
    <font>
      <b/>
      <sz val="11"/>
      <color rgb="FF1F4E5A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  <font>
      <i/>
      <sz val="10"/>
      <color rgb="FF666666"/>
      <name val="Arial"/>
      <charset val="1"/>
    </font>
    <font>
      <u/>
      <sz val="10"/>
      <color theme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FFEB9C"/>
      </patternFill>
    </fill>
  </fills>
  <borders count="6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9D3D6"/>
      </left>
      <right style="thin">
        <color rgb="FFC9D3D6"/>
      </right>
      <top style="thin">
        <color rgb="FFC9D3D6"/>
      </top>
      <bottom/>
      <diagonal/>
    </border>
    <border>
      <left style="thin">
        <color rgb="FFC9D3D6"/>
      </left>
      <right style="thin">
        <color rgb="FFC9D3D6"/>
      </right>
      <top/>
      <bottom/>
      <diagonal/>
    </border>
    <border>
      <left style="thin">
        <color rgb="FFC9D3D6"/>
      </left>
      <right style="thin">
        <color rgb="FFC9D3D6"/>
      </right>
      <top/>
      <bottom style="thin">
        <color rgb="FFC9D3D6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9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3" fillId="0" borderId="0" xfId="0" applyFont="1"/>
    <xf numFmtId="0" fontId="7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8" fillId="0" borderId="0" xfId="0" applyFont="1"/>
    <xf numFmtId="0" fontId="0" fillId="0" borderId="2" xfId="0" applyBorder="1" applyAlignment="1">
      <alignment vertical="top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3" fillId="0" borderId="2" xfId="0" applyFont="1" applyBorder="1" applyAlignment="1">
      <alignment vertical="top"/>
    </xf>
    <xf numFmtId="1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10" fillId="0" borderId="0" xfId="0" applyFont="1"/>
    <xf numFmtId="0" fontId="11" fillId="0" borderId="1" xfId="0" applyFont="1" applyBorder="1" applyAlignment="1">
      <alignment vertical="top" wrapText="1"/>
    </xf>
    <xf numFmtId="166" fontId="11" fillId="0" borderId="1" xfId="0" applyNumberFormat="1" applyFont="1" applyBorder="1" applyAlignment="1">
      <alignment vertical="top" wrapText="1"/>
    </xf>
    <xf numFmtId="166" fontId="0" fillId="4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12" fillId="4" borderId="3" xfId="1" applyFill="1" applyBorder="1" applyAlignment="1">
      <alignment horizontal="center" vertical="center" wrapText="1"/>
    </xf>
    <xf numFmtId="0" fontId="12" fillId="4" borderId="4" xfId="1" applyFill="1" applyBorder="1" applyAlignment="1">
      <alignment horizontal="center" vertical="center" wrapText="1"/>
    </xf>
    <xf numFmtId="0" fontId="12" fillId="4" borderId="5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claude.ai/share/ac9cc44f-7e0d-4aa8-adc4-82ddd52cf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A7" zoomScaleNormal="100" workbookViewId="0">
      <selection activeCell="B14" sqref="B14"/>
    </sheetView>
  </sheetViews>
  <sheetFormatPr defaultColWidth="8.6328125" defaultRowHeight="12.9" x14ac:dyDescent="0.25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spans="1:2" ht="17.2" customHeight="1" x14ac:dyDescent="0.35">
      <c r="A1" s="4" t="s">
        <v>0</v>
      </c>
    </row>
    <row r="2" spans="1:2" ht="15.05" customHeight="1" x14ac:dyDescent="0.3">
      <c r="A2" s="5" t="s">
        <v>1</v>
      </c>
    </row>
    <row r="4" spans="1:2" ht="18" customHeight="1" x14ac:dyDescent="0.25">
      <c r="A4" s="6" t="s">
        <v>2</v>
      </c>
      <c r="B4" s="7" t="s">
        <v>3</v>
      </c>
    </row>
    <row r="5" spans="1:2" ht="18" customHeight="1" x14ac:dyDescent="0.25">
      <c r="A5" s="6" t="s">
        <v>4</v>
      </c>
      <c r="B5" s="7" t="s">
        <v>5</v>
      </c>
    </row>
    <row r="6" spans="1:2" ht="18" customHeight="1" x14ac:dyDescent="0.25">
      <c r="A6" s="6" t="s">
        <v>6</v>
      </c>
      <c r="B6" s="7" t="s">
        <v>7</v>
      </c>
    </row>
    <row r="7" spans="1:2" ht="27.8" customHeight="1" x14ac:dyDescent="0.25">
      <c r="A7" s="6" t="s">
        <v>8</v>
      </c>
      <c r="B7" s="7" t="s">
        <v>9</v>
      </c>
    </row>
    <row r="8" spans="1:2" ht="55.5" customHeight="1" x14ac:dyDescent="0.25">
      <c r="A8" s="6" t="s">
        <v>10</v>
      </c>
      <c r="B8" s="7" t="s">
        <v>11</v>
      </c>
    </row>
    <row r="9" spans="1:2" ht="18" customHeight="1" x14ac:dyDescent="0.25">
      <c r="A9" s="6" t="s">
        <v>12</v>
      </c>
      <c r="B9" s="7" t="s">
        <v>13</v>
      </c>
    </row>
    <row r="10" spans="1:2" ht="42.05" customHeight="1" x14ac:dyDescent="0.25">
      <c r="A10" s="6" t="s">
        <v>14</v>
      </c>
      <c r="B10" s="7" t="s">
        <v>15</v>
      </c>
    </row>
    <row r="11" spans="1:2" ht="42.05" customHeight="1" x14ac:dyDescent="0.25">
      <c r="A11" s="6" t="s">
        <v>16</v>
      </c>
      <c r="B11" s="7" t="s">
        <v>17</v>
      </c>
    </row>
    <row r="12" spans="1:2" ht="18" customHeight="1" x14ac:dyDescent="0.25">
      <c r="A12" s="6" t="s">
        <v>18</v>
      </c>
      <c r="B12" s="7" t="s">
        <v>19</v>
      </c>
    </row>
    <row r="13" spans="1:2" ht="27.8" customHeight="1" x14ac:dyDescent="0.25">
      <c r="A13" s="6" t="s">
        <v>20</v>
      </c>
      <c r="B13" s="7" t="s">
        <v>21</v>
      </c>
    </row>
    <row r="14" spans="1:2" ht="42.05" customHeight="1" x14ac:dyDescent="0.25">
      <c r="A14" s="6" t="s">
        <v>22</v>
      </c>
      <c r="B14" s="7" t="s">
        <v>23</v>
      </c>
    </row>
    <row r="16" spans="1:2" ht="15.05" customHeight="1" x14ac:dyDescent="0.3">
      <c r="A16" s="8" t="s">
        <v>24</v>
      </c>
    </row>
    <row r="17" spans="1:7" ht="15.05" customHeight="1" x14ac:dyDescent="0.25">
      <c r="A17" s="9" t="s">
        <v>25</v>
      </c>
      <c r="B17" s="9" t="s">
        <v>26</v>
      </c>
      <c r="C17" s="9" t="s">
        <v>27</v>
      </c>
      <c r="D17" s="9" t="s">
        <v>28</v>
      </c>
      <c r="E17" s="9" t="s">
        <v>29</v>
      </c>
      <c r="F17" s="9" t="s">
        <v>30</v>
      </c>
      <c r="G17" s="9" t="s">
        <v>31</v>
      </c>
    </row>
    <row r="18" spans="1:7" ht="42.05" customHeight="1" x14ac:dyDescent="0.25">
      <c r="A18" s="10" t="s">
        <v>32</v>
      </c>
      <c r="B18" s="10" t="s">
        <v>33</v>
      </c>
      <c r="C18" s="10">
        <v>8</v>
      </c>
      <c r="D18" s="10" t="s">
        <v>34</v>
      </c>
      <c r="E18" s="10" t="s">
        <v>35</v>
      </c>
      <c r="F18" s="10" t="s">
        <v>36</v>
      </c>
      <c r="G18" s="10" t="s">
        <v>37</v>
      </c>
    </row>
    <row r="19" spans="1:7" ht="42.05" customHeight="1" x14ac:dyDescent="0.25">
      <c r="A19" s="10" t="s">
        <v>38</v>
      </c>
      <c r="B19" s="10" t="s">
        <v>39</v>
      </c>
      <c r="C19" s="10">
        <v>7</v>
      </c>
      <c r="D19" s="10" t="s">
        <v>40</v>
      </c>
      <c r="E19" s="10" t="s">
        <v>41</v>
      </c>
      <c r="F19" s="10" t="s">
        <v>42</v>
      </c>
      <c r="G19" s="10" t="s">
        <v>43</v>
      </c>
    </row>
    <row r="20" spans="1:7" ht="42.05" customHeight="1" x14ac:dyDescent="0.25">
      <c r="A20" s="10" t="s">
        <v>44</v>
      </c>
      <c r="B20" s="10" t="s">
        <v>45</v>
      </c>
      <c r="C20" s="10">
        <v>5</v>
      </c>
      <c r="D20" s="10" t="s">
        <v>46</v>
      </c>
      <c r="E20" s="10" t="s">
        <v>47</v>
      </c>
      <c r="F20" s="10" t="s">
        <v>48</v>
      </c>
      <c r="G20" s="10" t="s">
        <v>49</v>
      </c>
    </row>
    <row r="21" spans="1:7" ht="42.05" customHeight="1" x14ac:dyDescent="0.25">
      <c r="A21" s="10" t="s">
        <v>50</v>
      </c>
      <c r="B21" s="10" t="s">
        <v>51</v>
      </c>
      <c r="C21" s="10">
        <v>6</v>
      </c>
      <c r="D21" s="10" t="s">
        <v>52</v>
      </c>
      <c r="E21" s="10" t="s">
        <v>53</v>
      </c>
      <c r="F21" s="10" t="s">
        <v>54</v>
      </c>
      <c r="G21" s="10" t="s">
        <v>55</v>
      </c>
    </row>
    <row r="22" spans="1:7" ht="42.05" customHeight="1" x14ac:dyDescent="0.25">
      <c r="A22" s="10" t="s">
        <v>56</v>
      </c>
      <c r="B22" s="10" t="s">
        <v>57</v>
      </c>
      <c r="C22" s="10">
        <v>4</v>
      </c>
      <c r="D22" s="10" t="s">
        <v>58</v>
      </c>
      <c r="E22" s="10" t="s">
        <v>59</v>
      </c>
      <c r="F22" s="10" t="s">
        <v>60</v>
      </c>
      <c r="G22" s="10" t="s">
        <v>55</v>
      </c>
    </row>
    <row r="23" spans="1:7" ht="15.05" customHeight="1" x14ac:dyDescent="0.25">
      <c r="A23" s="11" t="s">
        <v>61</v>
      </c>
      <c r="C23" s="11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zoomScaleNormal="100" workbookViewId="0">
      <pane ySplit="13" topLeftCell="A28" activePane="bottomLeft" state="frozen"/>
      <selection pane="bottomLeft"/>
    </sheetView>
  </sheetViews>
  <sheetFormatPr defaultColWidth="8.6328125" defaultRowHeight="12.9" x14ac:dyDescent="0.25"/>
  <cols>
    <col min="1" max="1" width="24" customWidth="1"/>
    <col min="2" max="2" width="12" customWidth="1"/>
    <col min="3" max="3" width="20" customWidth="1"/>
    <col min="4" max="4" width="9" customWidth="1"/>
    <col min="5" max="5" width="16" customWidth="1"/>
    <col min="6" max="6" width="60" customWidth="1"/>
    <col min="7" max="7" width="4" customWidth="1"/>
    <col min="8" max="8" width="8" customWidth="1"/>
    <col min="9" max="9" width="12" customWidth="1"/>
    <col min="10" max="10" width="20" customWidth="1"/>
    <col min="11" max="11" width="9" customWidth="1"/>
    <col min="12" max="12" width="16" customWidth="1"/>
    <col min="13" max="13" width="60" customWidth="1"/>
  </cols>
  <sheetData>
    <row r="1" spans="1:13" ht="17.75" x14ac:dyDescent="0.35">
      <c r="A1" s="4" t="s">
        <v>62</v>
      </c>
    </row>
    <row r="2" spans="1:13" ht="13.45" x14ac:dyDescent="0.3">
      <c r="A2" s="12" t="s">
        <v>63</v>
      </c>
    </row>
    <row r="4" spans="1:13" ht="38.700000000000003" x14ac:dyDescent="0.25">
      <c r="A4" s="13" t="s">
        <v>64</v>
      </c>
      <c r="B4" s="13" t="s">
        <v>65</v>
      </c>
      <c r="C4" s="13" t="s">
        <v>66</v>
      </c>
    </row>
    <row r="5" spans="1:13" x14ac:dyDescent="0.25">
      <c r="A5" s="14" t="s">
        <v>67</v>
      </c>
      <c r="B5" s="15">
        <f>COUNTIFS('Scored Shortlist'!$C$4:$C$203,"JD3",'Scored Shortlist'!$J$4:$J$203,"Shortlist")</f>
        <v>7</v>
      </c>
      <c r="C5" s="15">
        <f>COUNTIFS('Scored Shortlist'!$C$4:$C$203,"JD5",'Scored Shortlist'!$J$4:$J$203,"Shortlist")</f>
        <v>7</v>
      </c>
    </row>
    <row r="6" spans="1:13" x14ac:dyDescent="0.25">
      <c r="A6" s="14" t="s">
        <v>68</v>
      </c>
      <c r="B6" s="15">
        <f>COUNTIFS('Scored Shortlist'!$C$4:$C$203,"JD3",'Scored Shortlist'!$J$4:$J$203,"Review")</f>
        <v>12</v>
      </c>
      <c r="C6" s="15">
        <f>COUNTIFS('Scored Shortlist'!$C$4:$C$203,"JD5",'Scored Shortlist'!$J$4:$J$203,"Review")</f>
        <v>11</v>
      </c>
    </row>
    <row r="7" spans="1:13" x14ac:dyDescent="0.25">
      <c r="A7" s="14" t="s">
        <v>69</v>
      </c>
      <c r="B7" s="15">
        <f>COUNTIFS('Scored Shortlist'!$C$4:$C$203,"JD3",'Scored Shortlist'!$J$4:$J$203,"Not shortlisted")</f>
        <v>81</v>
      </c>
      <c r="C7" s="15">
        <f>COUNTIFS('Scored Shortlist'!$C$4:$C$203,"JD5",'Scored Shortlist'!$J$4:$J$203,"Not shortlisted")</f>
        <v>82</v>
      </c>
    </row>
    <row r="8" spans="1:13" x14ac:dyDescent="0.25">
      <c r="A8" s="14" t="s">
        <v>61</v>
      </c>
      <c r="B8" s="16">
        <f>SUM(B5:B7)</f>
        <v>100</v>
      </c>
      <c r="C8" s="16">
        <f>SUM(C5:C7)</f>
        <v>100</v>
      </c>
    </row>
    <row r="9" spans="1:13" x14ac:dyDescent="0.25">
      <c r="A9" s="14" t="s">
        <v>70</v>
      </c>
      <c r="B9" s="17">
        <f>'Fairness Audit'!D9</f>
        <v>0.8125</v>
      </c>
      <c r="C9" s="17">
        <f>'Fairness Audit'!G9</f>
        <v>0.36923076923076925</v>
      </c>
    </row>
    <row r="10" spans="1:13" ht="25.8" x14ac:dyDescent="0.25">
      <c r="A10" s="14" t="s">
        <v>71</v>
      </c>
      <c r="B10" s="17">
        <f>'Fairness Audit'!D11</f>
        <v>0.97499999999999998</v>
      </c>
      <c r="C10" s="17">
        <f>'Fairness Audit'!G11</f>
        <v>0.92307692307692302</v>
      </c>
    </row>
    <row r="12" spans="1:13" ht="14" x14ac:dyDescent="0.3">
      <c r="A12" s="18" t="s">
        <v>72</v>
      </c>
      <c r="H12" s="18" t="s">
        <v>73</v>
      </c>
    </row>
    <row r="13" spans="1:13" x14ac:dyDescent="0.25">
      <c r="A13" s="13" t="s">
        <v>74</v>
      </c>
      <c r="B13" s="13" t="s">
        <v>75</v>
      </c>
      <c r="C13" s="13" t="s">
        <v>76</v>
      </c>
      <c r="D13" s="13" t="s">
        <v>77</v>
      </c>
      <c r="E13" s="13" t="s">
        <v>78</v>
      </c>
      <c r="F13" s="13" t="s">
        <v>79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</row>
    <row r="14" spans="1:13" ht="85.6" customHeight="1" x14ac:dyDescent="0.25">
      <c r="A14" s="15">
        <f>'Scored Shortlist'!K4</f>
        <v>1</v>
      </c>
      <c r="B14" s="19" t="str">
        <f>'Scored Shortlist'!A4</f>
        <v>CV051</v>
      </c>
      <c r="C14" s="19" t="str">
        <f>'Scored Shortlist'!B4</f>
        <v>Shreya Shah</v>
      </c>
      <c r="D14" s="16">
        <f>'Scored Shortlist'!I4</f>
        <v>73</v>
      </c>
      <c r="E14" s="19" t="str">
        <f>'Scored Shortlist'!J4</f>
        <v>Shortlist</v>
      </c>
      <c r="F14" s="19" t="str">
        <f>'Scored Shortlist'!N4</f>
        <v>Strengths: right degree, experience in band. Qualification: CA meets requirement (25/25). Experience: 3.4 yrs, inside 2-4 band (25/25). Skills (20/40): has Excel, valuation; partial: Power BI &lt;- Tableau listed (equivalent BI tool); missing financial modelling, variance analysis. Achievement: led 5-member campus marketing team (3/10).</v>
      </c>
      <c r="H14" s="15">
        <f>'Scored Shortlist'!K104</f>
        <v>1</v>
      </c>
      <c r="I14" s="19" t="str">
        <f>'Scored Shortlist'!A104</f>
        <v>CV086</v>
      </c>
      <c r="J14" s="19" t="str">
        <f>'Scored Shortlist'!B104</f>
        <v>Simran Reddy</v>
      </c>
      <c r="K14" s="16">
        <f>'Scored Shortlist'!I104</f>
        <v>82</v>
      </c>
      <c r="L14" s="19" t="str">
        <f>'Scored Shortlist'!J104</f>
        <v>Shortlist</v>
      </c>
      <c r="M14" s="19" t="str">
        <f>'Scored Shortlist'!N104</f>
        <v>Strengths: right degree, experience in band, strong skill match. Qualification: B.Tech + MBA meets requirement (25/25). Experience: 5.4 yrs, inside 3-6 band (25/25). Skills (28/40): has product roadmap, SQL, agile; partial: UPI/payments &lt;- domain exposure: most recently at a fintech start-up; missing user research. Achievement: vendor on-time delivery 78%-&gt;92% (4/10).</v>
      </c>
    </row>
    <row r="15" spans="1:13" ht="85.6" customHeight="1" x14ac:dyDescent="0.25">
      <c r="A15" s="15">
        <f>'Scored Shortlist'!K5</f>
        <v>2</v>
      </c>
      <c r="B15" s="19" t="str">
        <f>'Scored Shortlist'!A5</f>
        <v>CV019</v>
      </c>
      <c r="C15" s="19" t="str">
        <f>'Scored Shortlist'!B5</f>
        <v>Rahul Pawar</v>
      </c>
      <c r="D15" s="16">
        <f>'Scored Shortlist'!I5</f>
        <v>72</v>
      </c>
      <c r="E15" s="19" t="str">
        <f>'Scored Shortlist'!J5</f>
        <v>Shortlist</v>
      </c>
      <c r="F15" s="19" t="str">
        <f>'Scored Shortlist'!N5</f>
        <v>Strengths: right degree, experience in band, role-relevant achievement. Qualification: MBA Finance meets requirement (25/25). Experience: 3.5 yrs, inside 2-4 band (25/25). Skills (12/40): has Excel; partial: Power BI &lt;- Power BI used in achievement; missing financial modelling, valuation, variance analysis. Achievement: Power BI dashboard for 30 managers (10/10).</v>
      </c>
      <c r="H15" s="15">
        <f>'Scored Shortlist'!K105</f>
        <v>2</v>
      </c>
      <c r="I15" s="19" t="str">
        <f>'Scored Shortlist'!A105</f>
        <v>CV080</v>
      </c>
      <c r="J15" s="19" t="str">
        <f>'Scored Shortlist'!B105</f>
        <v>Kabir Das</v>
      </c>
      <c r="K15" s="16">
        <f>'Scored Shortlist'!I105</f>
        <v>76</v>
      </c>
      <c r="L15" s="19" t="str">
        <f>'Scored Shortlist'!J105</f>
        <v>Shortlist</v>
      </c>
      <c r="M15" s="19" t="str">
        <f>'Scored Shortlist'!N105</f>
        <v>Strengths: right degree, strong skill match, role-relevant achievement. Gaps: over-experienced for band. Qualification: B.Tech + MBA meets requirement (25/25). Experience: 6.1 yrs, 0.1 above 3-6 band (20/25). Skills (24/40): has user research, SQL, UPI/payments; missing product roadmap, agile. Achievement: Power BI dashboard for 30 managers (7/10).</v>
      </c>
    </row>
    <row r="16" spans="1:13" ht="85.6" customHeight="1" x14ac:dyDescent="0.25">
      <c r="A16" s="15">
        <f>'Scored Shortlist'!K6</f>
        <v>3</v>
      </c>
      <c r="B16" s="19" t="str">
        <f>'Scored Shortlist'!A6</f>
        <v>CV025</v>
      </c>
      <c r="C16" s="19" t="str">
        <f>'Scored Shortlist'!B6</f>
        <v>Kavya Verma</v>
      </c>
      <c r="D16" s="16">
        <f>'Scored Shortlist'!I6</f>
        <v>68</v>
      </c>
      <c r="E16" s="19" t="str">
        <f>'Scored Shortlist'!J6</f>
        <v>Shortlist</v>
      </c>
      <c r="F16" s="19" t="str">
        <f>'Scored Shortlist'!N6</f>
        <v>Strengths: right degree. Gaps: over-experienced for band. Qualification: MBA Finance meets requirement (25/25). Experience: 5.5 yrs, 1.5 above 2-4 band (20/25). Skills (20/40): has financial modelling, valuation; partial: Power BI &lt;- Tableau listed (equivalent BI tool); missing Excel, variance analysis. Achievement: 120 hires in a year (3/10).</v>
      </c>
      <c r="H16" s="15">
        <f>'Scored Shortlist'!K106</f>
        <v>3</v>
      </c>
      <c r="I16" s="19" t="str">
        <f>'Scored Shortlist'!A106</f>
        <v>CV056</v>
      </c>
      <c r="J16" s="19" t="str">
        <f>'Scored Shortlist'!B106</f>
        <v>Gurpreet Iyer</v>
      </c>
      <c r="K16" s="16">
        <f>'Scored Shortlist'!I106</f>
        <v>73</v>
      </c>
      <c r="L16" s="19" t="str">
        <f>'Scored Shortlist'!J106</f>
        <v>Shortlist</v>
      </c>
      <c r="M16" s="19" t="str">
        <f>'Scored Shortlist'!N106</f>
        <v>Strengths: right degree, experience in band, role-relevant achievement. Qualification: B.Tech + MBA meets requirement (25/25). Experience: 5.9 yrs, inside 3-6 band (25/25). Skills (16/40): has product roadmap, SQL; missing user research, agile, UPI/payments. Achievement: Power BI dashboard for 30 managers (7/10).</v>
      </c>
    </row>
    <row r="17" spans="1:13" ht="85.6" customHeight="1" x14ac:dyDescent="0.25">
      <c r="A17" s="15">
        <f>'Scored Shortlist'!K7</f>
        <v>4</v>
      </c>
      <c r="B17" s="19" t="str">
        <f>'Scored Shortlist'!A7</f>
        <v>CV055</v>
      </c>
      <c r="C17" s="19" t="str">
        <f>'Scored Shortlist'!B7</f>
        <v>Joseph Jadhav</v>
      </c>
      <c r="D17" s="16">
        <f>'Scored Shortlist'!I7</f>
        <v>67</v>
      </c>
      <c r="E17" s="19" t="str">
        <f>'Scored Shortlist'!J7</f>
        <v>Shortlist</v>
      </c>
      <c r="F17" s="19" t="str">
        <f>'Scored Shortlist'!N7</f>
        <v>Strengths: right degree, role-relevant achievement. Gaps: over-experienced for band. Qualification: CA meets requirement (25/25). Experience: 7.3 yrs, 3.3 above 2-4 band (12/25). Skills (20/40): has Excel, valuation; partial: Power BI &lt;- Tableau listed (equivalent BI tool); missing financial modelling, variance analysis. Achievement: cut reporting time 40% via Excel automation (10/10).</v>
      </c>
      <c r="H17" s="15">
        <f>'Scored Shortlist'!K107</f>
        <v>4</v>
      </c>
      <c r="I17" s="19" t="str">
        <f>'Scored Shortlist'!A107</f>
        <v>CV052</v>
      </c>
      <c r="J17" s="19" t="str">
        <f>'Scored Shortlist'!B107</f>
        <v>Sneha Verma</v>
      </c>
      <c r="K17" s="16">
        <f>'Scored Shortlist'!I107</f>
        <v>72</v>
      </c>
      <c r="L17" s="19" t="str">
        <f>'Scored Shortlist'!J107</f>
        <v>Shortlist</v>
      </c>
      <c r="M17" s="19" t="str">
        <f>'Scored Shortlist'!N107</f>
        <v>Strengths: right degree, experience in band. Qualification: B.Tech + MBA meets requirement (25/25). Experience: 3.2 yrs, inside 3-6 band (25/25). Skills (16/40): has product roadmap, agile; missing user research, SQL, UPI/payments. Achievement: cut reporting time 40% via Excel automation (6/10).</v>
      </c>
    </row>
    <row r="18" spans="1:13" ht="85.6" customHeight="1" x14ac:dyDescent="0.25">
      <c r="A18" s="15">
        <f>'Scored Shortlist'!K8</f>
        <v>4</v>
      </c>
      <c r="B18" s="19" t="str">
        <f>'Scored Shortlist'!A8</f>
        <v>CV099</v>
      </c>
      <c r="C18" s="19" t="str">
        <f>'Scored Shortlist'!B8</f>
        <v>Tushar Deshmukh</v>
      </c>
      <c r="D18" s="16">
        <f>'Scored Shortlist'!I8</f>
        <v>67</v>
      </c>
      <c r="E18" s="19" t="str">
        <f>'Scored Shortlist'!J8</f>
        <v>Shortlist</v>
      </c>
      <c r="F18" s="19" t="str">
        <f>'Scored Shortlist'!N8</f>
        <v>Strengths: right degree, role-relevant achievement. Gaps: over-experienced for band. Qualification: MBA Finance meets requirement (25/25). Experience: 4.5 yrs, 0.5 above 2-4 band (20/25). Skills (12/40): has Excel; partial: Power BI &lt;- Tableau listed (equivalent BI tool); missing financial modelling, valuation, variance analysis. Achievement: cut reporting time 40% via Excel automation (10/10).</v>
      </c>
      <c r="H18" s="15">
        <f>'Scored Shortlist'!K108</f>
        <v>5</v>
      </c>
      <c r="I18" s="19" t="str">
        <f>'Scored Shortlist'!A108</f>
        <v>CV040</v>
      </c>
      <c r="J18" s="19" t="str">
        <f>'Scored Shortlist'!B108</f>
        <v>Deepak Desai</v>
      </c>
      <c r="K18" s="16">
        <f>'Scored Shortlist'!I108</f>
        <v>67</v>
      </c>
      <c r="L18" s="19" t="str">
        <f>'Scored Shortlist'!J108</f>
        <v>Shortlist</v>
      </c>
      <c r="M18" s="19" t="str">
        <f>'Scored Shortlist'!N108</f>
        <v>Strengths: experience in band, role-relevant achievement. Gaps: degree off-spec. Qualification: MBA Finance partly relevant (15/25). Experience: 5.6 yrs, inside 3-6 band (25/25). Skills (20/40): has product roadmap, agile; partial: user research &lt;- A/B testing listed (customer-insight method); missing SQL, UPI/payments. Achievement: Power BI dashboard for 30 managers (7/10).</v>
      </c>
    </row>
    <row r="19" spans="1:13" ht="85.6" customHeight="1" x14ac:dyDescent="0.25">
      <c r="A19" s="15">
        <f>'Scored Shortlist'!K9</f>
        <v>6</v>
      </c>
      <c r="B19" s="19" t="str">
        <f>'Scored Shortlist'!A9</f>
        <v>CV040</v>
      </c>
      <c r="C19" s="19" t="str">
        <f>'Scored Shortlist'!B9</f>
        <v>Deepak Desai</v>
      </c>
      <c r="D19" s="16">
        <f>'Scored Shortlist'!I9</f>
        <v>63</v>
      </c>
      <c r="E19" s="19" t="str">
        <f>'Scored Shortlist'!J9</f>
        <v>Review</v>
      </c>
      <c r="F19" s="19" t="str">
        <f>'Scored Shortlist'!N9</f>
        <v>Strengths: right degree, role-relevant achievement. Gaps: over-experienced for band, weak skill match. Qualification: MBA Finance meets requirement (25/25). Experience: 5.6 yrs, 1.6 above 2-4 band (20/25). Skills (8/40): has Power BI; missing financial modelling, Excel, valuation, variance analysis. Achievement: Power BI dashboard for 30 managers (10/10).</v>
      </c>
      <c r="H19" s="15">
        <f>'Scored Shortlist'!K109</f>
        <v>6</v>
      </c>
      <c r="I19" s="19" t="str">
        <f>'Scored Shortlist'!A109</f>
        <v>CV019</v>
      </c>
      <c r="J19" s="19" t="str">
        <f>'Scored Shortlist'!B109</f>
        <v>Rahul Pawar</v>
      </c>
      <c r="K19" s="16">
        <f>'Scored Shortlist'!I109</f>
        <v>63</v>
      </c>
      <c r="L19" s="19" t="str">
        <f>'Scored Shortlist'!J109</f>
        <v>Shortlist</v>
      </c>
      <c r="M19" s="19" t="str">
        <f>'Scored Shortlist'!N109</f>
        <v>Strengths: experience in band, role-relevant achievement. Gaps: degree off-spec. Qualification: MBA Finance partly relevant (15/25). Experience: 3.5 yrs, inside 3-6 band (25/25). Skills (16/40): has product roadmap, user research; missing SQL, agile, UPI/payments. Achievement: Power BI dashboard for 30 managers (7/10).</v>
      </c>
    </row>
    <row r="20" spans="1:13" ht="85.6" customHeight="1" x14ac:dyDescent="0.25">
      <c r="A20" s="15">
        <f>'Scored Shortlist'!K10</f>
        <v>6</v>
      </c>
      <c r="B20" s="19" t="str">
        <f>'Scored Shortlist'!A10</f>
        <v>CV052</v>
      </c>
      <c r="C20" s="19" t="str">
        <f>'Scored Shortlist'!B10</f>
        <v>Sneha Verma</v>
      </c>
      <c r="D20" s="16">
        <f>'Scored Shortlist'!I10</f>
        <v>63</v>
      </c>
      <c r="E20" s="19" t="str">
        <f>'Scored Shortlist'!J10</f>
        <v>Shortlist</v>
      </c>
      <c r="F20" s="19" t="str">
        <f>'Scored Shortlist'!N10</f>
        <v>Strengths: experience in band, role-relevant achievement. Gaps: degree off-spec. Qualification: B.Tech + MBA partly relevant (12/25). Experience: 3.2 yrs, inside 2-4 band (25/25). Skills (16/40): has financial modelling; partial: Power BI &lt;- Tableau listed (equivalent BI tool); Excel &lt;- Excel automation in achievement; missing valuation, variance analysis. Achievement: cut reporting time 40% via Excel automation (10/10).</v>
      </c>
      <c r="H20" s="15">
        <f>'Scored Shortlist'!K110</f>
        <v>7</v>
      </c>
      <c r="I20" s="19" t="str">
        <f>'Scored Shortlist'!A110</f>
        <v>CV009</v>
      </c>
      <c r="J20" s="19" t="str">
        <f>'Scored Shortlist'!B110</f>
        <v>Vivaan Das</v>
      </c>
      <c r="K20" s="16">
        <f>'Scored Shortlist'!I110</f>
        <v>60</v>
      </c>
      <c r="L20" s="19" t="str">
        <f>'Scored Shortlist'!J110</f>
        <v>Shortlist</v>
      </c>
      <c r="M20" s="19" t="str">
        <f>'Scored Shortlist'!N110</f>
        <v>Strengths: experience in band. Gaps: degree off-spec. Qualification: MBA Finance partly relevant (15/25). Experience: 5.8 yrs, inside 3-6 band (25/25). Skills (16/40): has product roadmap, user research; missing SQL, agile, UPI/payments. Achievement: vendor on-time delivery 78%-&gt;92% (4/10).</v>
      </c>
    </row>
    <row r="21" spans="1:13" ht="85.6" customHeight="1" x14ac:dyDescent="0.25">
      <c r="A21" s="15">
        <f>'Scored Shortlist'!K11</f>
        <v>6</v>
      </c>
      <c r="B21" s="19" t="str">
        <f>'Scored Shortlist'!A11</f>
        <v>CV089</v>
      </c>
      <c r="C21" s="19" t="str">
        <f>'Scored Shortlist'!B11</f>
        <v>Riya Mehta</v>
      </c>
      <c r="D21" s="16">
        <f>'Scored Shortlist'!I11</f>
        <v>63</v>
      </c>
      <c r="E21" s="19" t="str">
        <f>'Scored Shortlist'!J11</f>
        <v>Shortlist</v>
      </c>
      <c r="F21" s="19" t="str">
        <f>'Scored Shortlist'!N11</f>
        <v>Strengths: experience in band, role-relevant achievement. Gaps: degree off-spec. Qualification: MBA Marketing partly relevant (12/25). Experience: 3.5 yrs, inside 2-4 band (25/25). Skills (16/40): has Excel, Power BI; missing financial modelling, valuation, variance analysis. Achievement: cut reporting time 40% via Excel automation (10/10).</v>
      </c>
      <c r="H21" s="15">
        <f>'Scored Shortlist'!K111</f>
        <v>8</v>
      </c>
      <c r="I21" s="19" t="str">
        <f>'Scored Shortlist'!A111</f>
        <v>CV057</v>
      </c>
      <c r="J21" s="19" t="str">
        <f>'Scored Shortlist'!B111</f>
        <v>Divya Chatterjee</v>
      </c>
      <c r="K21" s="16">
        <f>'Scored Shortlist'!I111</f>
        <v>59</v>
      </c>
      <c r="L21" s="19" t="str">
        <f>'Scored Shortlist'!J111</f>
        <v>Review</v>
      </c>
      <c r="M21" s="19" t="str">
        <f>'Scored Shortlist'!N111</f>
        <v>Strengths: experience in band. Gaps: degree off-spec. Qualification: MBA Operations partly relevant (15/25). Experience: 4.6 yrs, inside 3-6 band (25/25). Skills (16/40): has agile, UPI/payments; missing product roadmap, user research, SQL. Achievement: 120 hires in a year (3/10).</v>
      </c>
    </row>
    <row r="22" spans="1:13" ht="85.6" customHeight="1" x14ac:dyDescent="0.25">
      <c r="A22" s="15">
        <f>'Scored Shortlist'!K12</f>
        <v>9</v>
      </c>
      <c r="B22" s="19" t="str">
        <f>'Scored Shortlist'!A12</f>
        <v>CV044</v>
      </c>
      <c r="C22" s="19" t="str">
        <f>'Scored Shortlist'!B12</f>
        <v>Nisha Banerjee</v>
      </c>
      <c r="D22" s="16">
        <f>'Scored Shortlist'!I12</f>
        <v>59</v>
      </c>
      <c r="E22" s="19" t="str">
        <f>'Scored Shortlist'!J12</f>
        <v>Review</v>
      </c>
      <c r="F22" s="19" t="str">
        <f>'Scored Shortlist'!N12</f>
        <v>Strengths: right degree, role-relevant achievement. Gaps: over-experienced for band. Qualification: CA meets requirement (25/25). Experience: 7.2 yrs, 3.2 above 2-4 band (12/25). Skills (12/40): has valuation; partial: Power BI &lt;- Power BI used in achievement; missing financial modelling, Excel, variance analysis. Achievement: Power BI dashboard for 30 managers (10/10).</v>
      </c>
      <c r="H22" s="15">
        <f>'Scored Shortlist'!K112</f>
        <v>8</v>
      </c>
      <c r="I22" s="19" t="str">
        <f>'Scored Shortlist'!A112</f>
        <v>CV087</v>
      </c>
      <c r="J22" s="19" t="str">
        <f>'Scored Shortlist'!B112</f>
        <v>Lakshmi Gupta</v>
      </c>
      <c r="K22" s="16">
        <f>'Scored Shortlist'!I112</f>
        <v>59</v>
      </c>
      <c r="L22" s="19" t="str">
        <f>'Scored Shortlist'!J112</f>
        <v>Review</v>
      </c>
      <c r="M22" s="19" t="str">
        <f>'Scored Shortlist'!N112</f>
        <v>Strengths: experience in band. Gaps: degree off-spec. Qualification: MBA Finance partly relevant (15/25). Experience: 5.6 yrs, inside 3-6 band (25/25). Skills (16/40): has user research, UPI/payments; missing product roadmap, SQL, agile. Achievement: 120 hires in a year (3/10).</v>
      </c>
    </row>
    <row r="23" spans="1:13" ht="85.6" customHeight="1" x14ac:dyDescent="0.25">
      <c r="A23" s="15">
        <f>'Scored Shortlist'!K13</f>
        <v>10</v>
      </c>
      <c r="B23" s="19" t="str">
        <f>'Scored Shortlist'!A13</f>
        <v>CV096</v>
      </c>
      <c r="C23" s="19" t="str">
        <f>'Scored Shortlist'!B13</f>
        <v>Vivaan Nair</v>
      </c>
      <c r="D23" s="16">
        <f>'Scored Shortlist'!I13</f>
        <v>58</v>
      </c>
      <c r="E23" s="19" t="str">
        <f>'Scored Shortlist'!J13</f>
        <v>Review</v>
      </c>
      <c r="F23" s="19" t="str">
        <f>'Scored Shortlist'!N13</f>
        <v>Strengths: right degree, experience in band. Gaps: weak skill match. Qualification: MBA Finance meets requirement (25/25). Experience: 2.4 yrs, inside 2-4 band (25/25). Skills (8/40): has Excel; missing financial modelling, valuation, variance analysis, Power BI. Achievement: none listed (0/10).</v>
      </c>
      <c r="H23" s="15">
        <f>'Scored Shortlist'!K113</f>
        <v>10</v>
      </c>
      <c r="I23" s="19" t="str">
        <f>'Scored Shortlist'!A113</f>
        <v>CV089</v>
      </c>
      <c r="J23" s="19" t="str">
        <f>'Scored Shortlist'!B113</f>
        <v>Riya Mehta</v>
      </c>
      <c r="K23" s="16">
        <f>'Scored Shortlist'!I113</f>
        <v>58</v>
      </c>
      <c r="L23" s="19" t="str">
        <f>'Scored Shortlist'!J113</f>
        <v>Review</v>
      </c>
      <c r="M23" s="19" t="str">
        <f>'Scored Shortlist'!N113</f>
        <v>Strengths: experience in band. Gaps: degree off-spec. Qualification: MBA Marketing partly relevant (15/25). Experience: 3.5 yrs, inside 3-6 band (25/25). Skills (12/40): has SQL; partial: UPI/payments &lt;- domain exposure: most recently at a fintech start-up; missing product roadmap, user research, agile. Achievement: cut reporting time 40% via Excel automation (6/10).</v>
      </c>
    </row>
    <row r="24" spans="1:13" ht="85.6" customHeight="1" x14ac:dyDescent="0.25">
      <c r="A24" s="15">
        <f>'Scored Shortlist'!K14</f>
        <v>11</v>
      </c>
      <c r="B24" s="19" t="str">
        <f>'Scored Shortlist'!A14</f>
        <v>CV005</v>
      </c>
      <c r="C24" s="19" t="str">
        <f>'Scored Shortlist'!B14</f>
        <v>Farhan Patil</v>
      </c>
      <c r="D24" s="16">
        <f>'Scored Shortlist'!I14</f>
        <v>57</v>
      </c>
      <c r="E24" s="19" t="str">
        <f>'Scored Shortlist'!J14</f>
        <v>Review</v>
      </c>
      <c r="F24" s="19" t="str">
        <f>'Scored Shortlist'!N14</f>
        <v>Strengths: experience in band, role-relevant achievement. Gaps: degree off-spec. Qualification: BBA not the required degree (6/25). Experience: 3 yrs, inside 2-4 band (25/25). Skills (16/40): has financial modelling, Power BI; missing Excel, valuation, variance analysis. Achievement: Power BI dashboard for 30 managers (10/10).</v>
      </c>
      <c r="H24" s="15">
        <f>'Scored Shortlist'!K114</f>
        <v>10</v>
      </c>
      <c r="I24" s="19" t="str">
        <f>'Scored Shortlist'!A114</f>
        <v>CV099</v>
      </c>
      <c r="J24" s="19" t="str">
        <f>'Scored Shortlist'!B114</f>
        <v>Tushar Deshmukh</v>
      </c>
      <c r="K24" s="16">
        <f>'Scored Shortlist'!I114</f>
        <v>58</v>
      </c>
      <c r="L24" s="19" t="str">
        <f>'Scored Shortlist'!J114</f>
        <v>Review</v>
      </c>
      <c r="M24" s="19" t="str">
        <f>'Scored Shortlist'!N114</f>
        <v>Strengths: experience in band. Gaps: degree off-spec. Qualification: MBA Finance partly relevant (15/25). Experience: 4.5 yrs, inside 3-6 band (25/25). Skills (12/40): has agile; partial: user research &lt;- A/B testing listed (customer-insight method); missing product roadmap, SQL, UPI/payments. Achievement: cut reporting time 40% via Excel automation (6/10).</v>
      </c>
    </row>
    <row r="25" spans="1:13" ht="85.6" customHeight="1" x14ac:dyDescent="0.25">
      <c r="A25" s="15">
        <f>'Scored Shortlist'!K15</f>
        <v>11</v>
      </c>
      <c r="B25" s="19" t="str">
        <f>'Scored Shortlist'!A15</f>
        <v>CV009</v>
      </c>
      <c r="C25" s="19" t="str">
        <f>'Scored Shortlist'!B15</f>
        <v>Vivaan Das</v>
      </c>
      <c r="D25" s="16">
        <f>'Scored Shortlist'!I15</f>
        <v>57</v>
      </c>
      <c r="E25" s="19" t="str">
        <f>'Scored Shortlist'!J15</f>
        <v>Review</v>
      </c>
      <c r="F25" s="19" t="str">
        <f>'Scored Shortlist'!N15</f>
        <v>Strengths: right degree. Gaps: over-experienced for band, weak skill match. Qualification: MBA Finance meets requirement (25/25). Experience: 5.8 yrs, 1.8 above 2-4 band (20/25). Skills (8/40): has valuation; missing financial modelling, Excel, variance analysis, Power BI. Achievement: vendor on-time delivery 78%-&gt;92% (4/10).</v>
      </c>
      <c r="H25" s="15">
        <f>'Scored Shortlist'!K115</f>
        <v>12</v>
      </c>
      <c r="I25" s="19" t="str">
        <f>'Scored Shortlist'!A115</f>
        <v>CV022</v>
      </c>
      <c r="J25" s="19" t="str">
        <f>'Scored Shortlist'!B115</f>
        <v>Sandeep Das</v>
      </c>
      <c r="K25" s="16">
        <f>'Scored Shortlist'!I115</f>
        <v>57</v>
      </c>
      <c r="L25" s="19" t="str">
        <f>'Scored Shortlist'!J115</f>
        <v>Not shortlisted</v>
      </c>
      <c r="M25" s="19" t="str">
        <f>'Scored Shortlist'!N115</f>
        <v>Strengths: right degree, experience in band, role-relevant achievement. Gaps: weak skill match. Qualification: B.Tech + MBA meets requirement (25/25). Experience: 5.8 yrs, inside 3-6 band (25/25). Skills (0/40): has none of the 5; missing product roadmap, user research, SQL, agile, UPI/payments. Achievement: Power BI dashboard for 30 managers (7/10).</v>
      </c>
    </row>
    <row r="26" spans="1:13" ht="85.6" customHeight="1" x14ac:dyDescent="0.25">
      <c r="A26" s="15">
        <f>'Scored Shortlist'!K16</f>
        <v>11</v>
      </c>
      <c r="B26" s="19" t="str">
        <f>'Scored Shortlist'!A16</f>
        <v>CV011</v>
      </c>
      <c r="C26" s="19" t="str">
        <f>'Scored Shortlist'!B16</f>
        <v>Gauri Mishra</v>
      </c>
      <c r="D26" s="16">
        <f>'Scored Shortlist'!I16</f>
        <v>57</v>
      </c>
      <c r="E26" s="19" t="str">
        <f>'Scored Shortlist'!J16</f>
        <v>Review</v>
      </c>
      <c r="F26" s="19" t="str">
        <f>'Scored Shortlist'!N16</f>
        <v>Strengths: experience in band. Gaps: degree off-spec. Qualification: MBA Marketing partly relevant (12/25). Experience: 3.5 yrs, inside 2-4 band (25/25). Skills (16/40): has financial modelling, Power BI; missing Excel, valuation, variance analysis. Achievement: vendor on-time delivery 78%-&gt;92% (4/10).</v>
      </c>
      <c r="H26" s="15">
        <f>'Scored Shortlist'!K116</f>
        <v>12</v>
      </c>
      <c r="I26" s="19" t="str">
        <f>'Scored Shortlist'!A116</f>
        <v>CV093</v>
      </c>
      <c r="J26" s="19" t="str">
        <f>'Scored Shortlist'!B116</f>
        <v>Sandeep Patil</v>
      </c>
      <c r="K26" s="16">
        <f>'Scored Shortlist'!I116</f>
        <v>57</v>
      </c>
      <c r="L26" s="19" t="str">
        <f>'Scored Shortlist'!J116</f>
        <v>Review</v>
      </c>
      <c r="M26" s="19" t="str">
        <f>'Scored Shortlist'!N116</f>
        <v>No clear strengths. Gaps: degree off-spec, over-experienced for band. Qualification: MBA Marketing partly relevant (15/25). Experience: 6.8 yrs, 0.8 above 3-6 band (20/25). Skills (16/40): has agile, UPI/payments; missing product roadmap, user research, SQL. Achievement: cut reporting time 40% via Excel automation (6/10).</v>
      </c>
    </row>
    <row r="27" spans="1:13" ht="85.6" customHeight="1" x14ac:dyDescent="0.25">
      <c r="A27" s="15">
        <f>'Scored Shortlist'!K17</f>
        <v>11</v>
      </c>
      <c r="B27" s="19" t="str">
        <f>'Scored Shortlist'!A17</f>
        <v>CV073</v>
      </c>
      <c r="C27" s="19" t="str">
        <f>'Scored Shortlist'!B17</f>
        <v>Gauri Kulkarni</v>
      </c>
      <c r="D27" s="16">
        <f>'Scored Shortlist'!I17</f>
        <v>57</v>
      </c>
      <c r="E27" s="19" t="str">
        <f>'Scored Shortlist'!J17</f>
        <v>Review</v>
      </c>
      <c r="F27" s="19" t="str">
        <f>'Scored Shortlist'!N17</f>
        <v>Strengths: right degree. Gaps: over-experienced for band. Qualification: CA meets requirement (25/25). Experience: 7.7 yrs, 3.7 above 2-4 band (12/25). Skills (16/40): has financial modelling, Excel; missing valuation, variance analysis, Power BI. Achievement: vendor on-time delivery 78%-&gt;92% (4/10).</v>
      </c>
      <c r="H27" s="15">
        <f>'Scored Shortlist'!K117</f>
        <v>14</v>
      </c>
      <c r="I27" s="19" t="str">
        <f>'Scored Shortlist'!A117</f>
        <v>CV028</v>
      </c>
      <c r="J27" s="19" t="str">
        <f>'Scored Shortlist'!B117</f>
        <v>Simran Menon</v>
      </c>
      <c r="K27" s="16">
        <f>'Scored Shortlist'!I117</f>
        <v>56</v>
      </c>
      <c r="L27" s="19" t="str">
        <f>'Scored Shortlist'!J117</f>
        <v>Review</v>
      </c>
      <c r="M27" s="19" t="str">
        <f>'Scored Shortlist'!N117</f>
        <v>Strengths: experience in band. Gaps: degree off-spec. Qualification: MBA Operations partly relevant (15/25). Experience: 5.9 yrs, inside 3-6 band (25/25). Skills (12/40): has SQL; partial: user research &lt;- A/B testing listed (customer-insight method); missing product roadmap, agile, UPI/payments. Achievement: vendor on-time delivery 78%-&gt;92% (4/10).</v>
      </c>
    </row>
    <row r="28" spans="1:13" ht="85.6" customHeight="1" x14ac:dyDescent="0.25">
      <c r="A28" s="15">
        <f>'Scored Shortlist'!K18</f>
        <v>15</v>
      </c>
      <c r="B28" s="19" t="str">
        <f>'Scored Shortlist'!A18</f>
        <v>CV083</v>
      </c>
      <c r="C28" s="19" t="str">
        <f>'Scored Shortlist'!B18</f>
        <v>Aditya Desai</v>
      </c>
      <c r="D28" s="16">
        <f>'Scored Shortlist'!I18</f>
        <v>56</v>
      </c>
      <c r="E28" s="19" t="str">
        <f>'Scored Shortlist'!J18</f>
        <v>Review</v>
      </c>
      <c r="F28" s="19" t="str">
        <f>'Scored Shortlist'!N18</f>
        <v>Strengths: right degree. Gaps: over-experienced for band. Qualification: MBA Finance meets requirement (25/25). Experience: 8.9 yrs, 4.9 above 2-4 band (12/25). Skills (16/40): has valuation, Power BI; missing financial modelling, Excel, variance analysis. Achievement: led 5-member campus marketing team (3/10).</v>
      </c>
      <c r="H28" s="15">
        <f>'Scored Shortlist'!K118</f>
        <v>15</v>
      </c>
      <c r="I28" s="19" t="str">
        <f>'Scored Shortlist'!A118</f>
        <v>CV008</v>
      </c>
      <c r="J28" s="19" t="str">
        <f>'Scored Shortlist'!B118</f>
        <v>Simran Mehta</v>
      </c>
      <c r="K28" s="16">
        <f>'Scored Shortlist'!I118</f>
        <v>55</v>
      </c>
      <c r="L28" s="19" t="str">
        <f>'Scored Shortlist'!J118</f>
        <v>Review</v>
      </c>
      <c r="M28" s="19" t="str">
        <f>'Scored Shortlist'!N118</f>
        <v>Strengths: experience in band. Gaps: degree off-spec. Qualification: MBA HR partly relevant (15/25). Experience: 3.2 yrs, inside 3-6 band (25/25). Skills (12/40): has agile; partial: UPI/payments &lt;- domain exposure: most recently at a fintech start-up; missing product roadmap, user research, SQL. Achievement: 120 hires in a year (3/10).</v>
      </c>
    </row>
    <row r="29" spans="1:13" ht="85.6" customHeight="1" x14ac:dyDescent="0.25">
      <c r="A29" s="15">
        <f>'Scored Shortlist'!K19</f>
        <v>15</v>
      </c>
      <c r="B29" s="19" t="str">
        <f>'Scored Shortlist'!A19</f>
        <v>CV087</v>
      </c>
      <c r="C29" s="19" t="str">
        <f>'Scored Shortlist'!B19</f>
        <v>Lakshmi Gupta</v>
      </c>
      <c r="D29" s="16">
        <f>'Scored Shortlist'!I19</f>
        <v>56</v>
      </c>
      <c r="E29" s="19" t="str">
        <f>'Scored Shortlist'!J19</f>
        <v>Review</v>
      </c>
      <c r="F29" s="19" t="str">
        <f>'Scored Shortlist'!N19</f>
        <v>Strengths: right degree. Gaps: over-experienced for band, weak skill match. Qualification: MBA Finance meets requirement (25/25). Experience: 5.6 yrs, 1.6 above 2-4 band (20/25). Skills (8/40): has Power BI; missing financial modelling, Excel, valuation, variance analysis. Achievement: 120 hires in a year (3/10).</v>
      </c>
      <c r="H29" s="15">
        <f>'Scored Shortlist'!K119</f>
        <v>15</v>
      </c>
      <c r="I29" s="19" t="str">
        <f>'Scored Shortlist'!A119</f>
        <v>CV039</v>
      </c>
      <c r="J29" s="19" t="str">
        <f>'Scored Shortlist'!B119</f>
        <v>Gurpreet Chatterjee</v>
      </c>
      <c r="K29" s="16">
        <f>'Scored Shortlist'!I119</f>
        <v>55</v>
      </c>
      <c r="L29" s="19" t="str">
        <f>'Scored Shortlist'!J119</f>
        <v>Review</v>
      </c>
      <c r="M29" s="19" t="str">
        <f>'Scored Shortlist'!N119</f>
        <v>Strengths: experience in band. Gaps: degree off-spec. Qualification: MBA Finance partly relevant (15/25). Experience: 3.5 yrs, inside 3-6 band (25/25). Skills (12/40): has SQL; partial: user research &lt;- A/B testing listed (customer-insight method); missing product roadmap, agile, UPI/payments. Achievement: 120 hires in a year (3/10).</v>
      </c>
    </row>
    <row r="30" spans="1:13" ht="85.6" customHeight="1" x14ac:dyDescent="0.25">
      <c r="A30" s="15">
        <f>'Scored Shortlist'!K20</f>
        <v>17</v>
      </c>
      <c r="B30" s="19" t="str">
        <f>'Scored Shortlist'!A20</f>
        <v>CV016</v>
      </c>
      <c r="C30" s="19" t="str">
        <f>'Scored Shortlist'!B20</f>
        <v>Vikram Jadhav</v>
      </c>
      <c r="D30" s="16">
        <f>'Scored Shortlist'!I20</f>
        <v>55</v>
      </c>
      <c r="E30" s="19" t="str">
        <f>'Scored Shortlist'!J20</f>
        <v>Review</v>
      </c>
      <c r="F30" s="19" t="str">
        <f>'Scored Shortlist'!N20</f>
        <v>Strengths: right degree, role-relevant achievement. Gaps: over-experienced for band, weak skill match. Qualification: CA meets requirement (25/25). Experience: 6.8 yrs, 2.8 above 2-4 band (12/25). Skills (8/40): has Excel; missing financial modelling, valuation, variance analysis, Power BI. Achievement: cut reporting time 40% via Excel automation (10/10).</v>
      </c>
      <c r="H30" s="15">
        <f>'Scored Shortlist'!K120</f>
        <v>15</v>
      </c>
      <c r="I30" s="19" t="str">
        <f>'Scored Shortlist'!A120</f>
        <v>CV063</v>
      </c>
      <c r="J30" s="19" t="str">
        <f>'Scored Shortlist'!B120</f>
        <v>Pooja Verma</v>
      </c>
      <c r="K30" s="16">
        <f>'Scored Shortlist'!I120</f>
        <v>55</v>
      </c>
      <c r="L30" s="19" t="str">
        <f>'Scored Shortlist'!J120</f>
        <v>Review</v>
      </c>
      <c r="M30" s="19" t="str">
        <f>'Scored Shortlist'!N120</f>
        <v>Strengths: experience in band. Gaps: degree off-spec. Qualification: MBA Operations partly relevant (15/25). Experience: 4.3 yrs, inside 3-6 band (25/25). Skills (12/40): has SQL; partial: user research &lt;- A/B testing listed (customer-insight method); missing product roadmap, agile, UPI/payments. Achievement: 120 hires in a year (3/10).</v>
      </c>
    </row>
    <row r="31" spans="1:13" ht="85.6" customHeight="1" x14ac:dyDescent="0.25">
      <c r="A31" s="15">
        <f>'Scored Shortlist'!K21</f>
        <v>17</v>
      </c>
      <c r="B31" s="19" t="str">
        <f>'Scored Shortlist'!A21</f>
        <v>CV032</v>
      </c>
      <c r="C31" s="19" t="str">
        <f>'Scored Shortlist'!B21</f>
        <v>Isha Pillai</v>
      </c>
      <c r="D31" s="16">
        <f>'Scored Shortlist'!I21</f>
        <v>55</v>
      </c>
      <c r="E31" s="19" t="str">
        <f>'Scored Shortlist'!J21</f>
        <v>Review</v>
      </c>
      <c r="F31" s="19" t="str">
        <f>'Scored Shortlist'!N21</f>
        <v>Strengths: experience in band, role-relevant achievement. Gaps: degree off-spec, weak skill match. Qualification: MBA HR partly relevant (12/25). Experience: 2.3 yrs, inside 2-4 band (25/25). Skills (8/40): has none of the 5; partial: Power BI &lt;- Tableau listed (equivalent BI tool); Excel &lt;- Excel automation in achievement; missing financial modelling, valuation, variance analysis. Achievement: cut reporting time 40% via Excel automation (10/10).</v>
      </c>
      <c r="H31" s="15">
        <f>'Scored Shortlist'!K121</f>
        <v>15</v>
      </c>
      <c r="I31" s="19" t="str">
        <f>'Scored Shortlist'!A121</f>
        <v>CV067</v>
      </c>
      <c r="J31" s="19" t="str">
        <f>'Scored Shortlist'!B121</f>
        <v>Priya Khan</v>
      </c>
      <c r="K31" s="16">
        <f>'Scored Shortlist'!I121</f>
        <v>55</v>
      </c>
      <c r="L31" s="19" t="str">
        <f>'Scored Shortlist'!J121</f>
        <v>Review</v>
      </c>
      <c r="M31" s="19" t="str">
        <f>'Scored Shortlist'!N121</f>
        <v>Strengths: strong skill match. Gaps: degree off-spec, over-experienced for band. Qualification: MBA HR partly relevant (15/25). Experience: 8.9 yrs, 2.9 above 3-6 band (12/25). Skills (28/40): has product roadmap, user research, SQL; partial: UPI/payments &lt;- domain exposure: most recently at a fintech start-up; missing agile. Achievement: none listed (0/10).</v>
      </c>
    </row>
    <row r="32" spans="1:13" ht="85.6" customHeight="1" x14ac:dyDescent="0.25">
      <c r="A32" s="15">
        <f>'Scored Shortlist'!K22</f>
        <v>17</v>
      </c>
      <c r="B32" s="19" t="str">
        <f>'Scored Shortlist'!A22</f>
        <v>CV043</v>
      </c>
      <c r="C32" s="19" t="str">
        <f>'Scored Shortlist'!B22</f>
        <v>Isha Patil</v>
      </c>
      <c r="D32" s="16">
        <f>'Scored Shortlist'!I22</f>
        <v>55</v>
      </c>
      <c r="E32" s="19" t="str">
        <f>'Scored Shortlist'!J22</f>
        <v>Review</v>
      </c>
      <c r="F32" s="19" t="str">
        <f>'Scored Shortlist'!N22</f>
        <v>Strengths: right degree. Gaps: under-experienced. Qualification: MBA Finance meets requirement (25/25). Experience: 1.9 yrs, 0.1 below 2-4 band (15/25). Skills (12/40): has valuation; partial: Power BI &lt;- Tableau listed (equivalent BI tool); missing financial modelling, Excel, variance analysis. Achievement: 120 hires in a year (3/10).</v>
      </c>
      <c r="H32" s="15">
        <f>'Scored Shortlist'!K122</f>
        <v>15</v>
      </c>
      <c r="I32" s="19" t="str">
        <f>'Scored Shortlist'!A122</f>
        <v>CV072</v>
      </c>
      <c r="J32" s="19" t="str">
        <f>'Scored Shortlist'!B122</f>
        <v>Farhan Banerjee</v>
      </c>
      <c r="K32" s="16">
        <f>'Scored Shortlist'!I122</f>
        <v>55</v>
      </c>
      <c r="L32" s="19" t="str">
        <f>'Scored Shortlist'!J122</f>
        <v>Review</v>
      </c>
      <c r="M32" s="19" t="str">
        <f>'Scored Shortlist'!N122</f>
        <v>Strengths: experience in band, role-relevant achievement. Gaps: degree off-spec, weak skill match. Qualification: MBA Operations partly relevant (15/25). Experience: 4.8 yrs, inside 3-6 band (25/25). Skills (8/40): has agile; missing product roadmap, user research, SQL, UPI/payments. Achievement: Power BI dashboard for 30 managers (7/10).</v>
      </c>
    </row>
    <row r="33" spans="1:13" ht="85.6" customHeight="1" x14ac:dyDescent="0.25">
      <c r="A33" s="15">
        <f>'Scored Shortlist'!K23</f>
        <v>20</v>
      </c>
      <c r="B33" s="19" t="str">
        <f>'Scored Shortlist'!A23</f>
        <v>CV022</v>
      </c>
      <c r="C33" s="19" t="str">
        <f>'Scored Shortlist'!B23</f>
        <v>Sandeep Das</v>
      </c>
      <c r="D33" s="16">
        <f>'Scored Shortlist'!I23</f>
        <v>54</v>
      </c>
      <c r="E33" s="19" t="str">
        <f>'Scored Shortlist'!J23</f>
        <v>Not shortlisted</v>
      </c>
      <c r="F33" s="19" t="str">
        <f>'Scored Shortlist'!N23</f>
        <v>Strengths: role-relevant achievement. Gaps: degree off-spec, over-experienced for band. Qualification: B.Tech + MBA partly relevant (12/25). Experience: 5.8 yrs, 1.8 above 2-4 band (20/25). Skills (12/40): has financial modelling; partial: Power BI &lt;- Tableau listed (equivalent BI tool); missing Excel, valuation, variance analysis. Achievement: Power BI dashboard for 30 managers (10/10).</v>
      </c>
      <c r="H33" s="15">
        <f>'Scored Shortlist'!K123</f>
        <v>20</v>
      </c>
      <c r="I33" s="19" t="str">
        <f>'Scored Shortlist'!A123</f>
        <v>CV059</v>
      </c>
      <c r="J33" s="19" t="str">
        <f>'Scored Shortlist'!B123</f>
        <v>Simran Mehta</v>
      </c>
      <c r="K33" s="16">
        <f>'Scored Shortlist'!I123</f>
        <v>54</v>
      </c>
      <c r="L33" s="19" t="str">
        <f>'Scored Shortlist'!J123</f>
        <v>Not shortlisted</v>
      </c>
      <c r="M33" s="19" t="str">
        <f>'Scored Shortlist'!N123</f>
        <v>Strengths: experience in band, strong skill match. Gaps: degree off-spec. Qualification: B.Com not the required degree (5/25). Experience: 4.7 yrs, inside 3-6 band (25/25). Skills (24/40): has user research, SQL, UPI/payments; missing product roadmap, agile. Achievement: none listed (0/10).</v>
      </c>
    </row>
  </sheetData>
  <conditionalFormatting sqref="E14:E33">
    <cfRule type="expression" dxfId="6" priority="2">
      <formula>E14="Shortlist"</formula>
    </cfRule>
    <cfRule type="expression" dxfId="5" priority="3">
      <formula>E14="Review"</formula>
    </cfRule>
  </conditionalFormatting>
  <conditionalFormatting sqref="L14:L33">
    <cfRule type="expression" dxfId="4" priority="4">
      <formula>L14="Shortlist"</formula>
    </cfRule>
    <cfRule type="expression" dxfId="3" priority="5">
      <formula>L14="Review"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1" sqref="B11"/>
    </sheetView>
  </sheetViews>
  <sheetFormatPr defaultColWidth="8.6328125" defaultRowHeight="12.9" x14ac:dyDescent="0.25"/>
  <cols>
    <col min="1" max="1" width="11" customWidth="1"/>
    <col min="2" max="2" width="18" customWidth="1"/>
    <col min="3" max="3" width="7" customWidth="1"/>
    <col min="4" max="4" width="16" customWidth="1"/>
    <col min="5" max="9" width="9" customWidth="1"/>
    <col min="10" max="10" width="14" customWidth="1"/>
    <col min="11" max="11" width="8" customWidth="1"/>
    <col min="12" max="12" width="18" customWidth="1"/>
    <col min="13" max="13" width="30" customWidth="1"/>
    <col min="14" max="14" width="70" customWidth="1"/>
    <col min="15" max="15" width="36" customWidth="1"/>
    <col min="16" max="16" width="13" customWidth="1"/>
  </cols>
  <sheetData>
    <row r="1" spans="1:16" ht="17.75" x14ac:dyDescent="0.35">
      <c r="A1" s="4" t="s">
        <v>80</v>
      </c>
    </row>
    <row r="2" spans="1:16" ht="13.45" x14ac:dyDescent="0.3">
      <c r="A2" s="12" t="s">
        <v>81</v>
      </c>
    </row>
    <row r="3" spans="1:16" ht="25.8" x14ac:dyDescent="0.25">
      <c r="A3" s="13" t="s">
        <v>75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78</v>
      </c>
      <c r="K3" s="13" t="s">
        <v>90</v>
      </c>
      <c r="L3" s="13" t="s">
        <v>91</v>
      </c>
      <c r="M3" s="13" t="s">
        <v>92</v>
      </c>
      <c r="N3" s="13" t="s">
        <v>93</v>
      </c>
      <c r="O3" s="13" t="s">
        <v>94</v>
      </c>
      <c r="P3" s="13" t="s">
        <v>95</v>
      </c>
    </row>
    <row r="4" spans="1:16" ht="73.5" customHeight="1" x14ac:dyDescent="0.25">
      <c r="A4" s="19" t="s">
        <v>96</v>
      </c>
      <c r="B4" s="19" t="str">
        <f>INDEX(Resumes!$B$2:$B$101,MATCH(A4,Resumes!$A$2:$A$101,0))</f>
        <v>Shreya Shah</v>
      </c>
      <c r="C4" s="19" t="s">
        <v>97</v>
      </c>
      <c r="D4" s="19" t="str">
        <f>INDEX('Job Descriptions'!$B$2:$B$6,MATCH(C4,'Job Descriptions'!$A$2:$A$6,0))</f>
        <v>Financial Analyst</v>
      </c>
      <c r="E4" s="20">
        <v>25</v>
      </c>
      <c r="F4" s="20">
        <v>25</v>
      </c>
      <c r="G4" s="20">
        <v>20</v>
      </c>
      <c r="H4" s="20">
        <v>3</v>
      </c>
      <c r="I4" s="16">
        <f t="shared" ref="I4:I35" si="0">SUM(E4:H4)</f>
        <v>73</v>
      </c>
      <c r="J4" s="15" t="str">
        <f t="shared" ref="J4:J35" si="1">IF(AND(I4&gt;=SL_CUT,G4&gt;=SL_SKILL),"Shortlist",IF(AND(I4&gt;=RV_CUT,G4&gt;=RV_SKILL),"Review","Not shortlisted"))</f>
        <v>Shortlist</v>
      </c>
      <c r="K4" s="15">
        <f t="shared" ref="K4:K35" si="2">COUNTIFS($C$4:$C$203,C4,$I$4:$I$203,"&gt;"&amp;I4)+1</f>
        <v>1</v>
      </c>
      <c r="L4" s="19" t="str">
        <f t="shared" ref="L4:L35" si="3">IF(OR(AND(I4&gt;=SL_CUT,G4&lt;SL_SKILL),AND(I4&gt;=RV_CUT,G4&lt;RV_SKILL)),"Capped by minimum-skills rule","")</f>
        <v/>
      </c>
      <c r="M4" s="21" t="s">
        <v>98</v>
      </c>
      <c r="N4" s="21" t="s">
        <v>99</v>
      </c>
      <c r="O4" s="21" t="s">
        <v>100</v>
      </c>
      <c r="P4" s="19" t="str">
        <f t="shared" ref="P4:P35" si="4">A4&amp;"|"&amp;C4</f>
        <v>CV051|JD3</v>
      </c>
    </row>
    <row r="5" spans="1:16" ht="73.5" customHeight="1" x14ac:dyDescent="0.25">
      <c r="A5" s="19" t="s">
        <v>101</v>
      </c>
      <c r="B5" s="19" t="str">
        <f>INDEX(Resumes!$B$2:$B$101,MATCH(A5,Resumes!$A$2:$A$101,0))</f>
        <v>Rahul Pawar</v>
      </c>
      <c r="C5" s="19" t="s">
        <v>97</v>
      </c>
      <c r="D5" s="19" t="str">
        <f>INDEX('Job Descriptions'!$B$2:$B$6,MATCH(C5,'Job Descriptions'!$A$2:$A$6,0))</f>
        <v>Financial Analyst</v>
      </c>
      <c r="E5" s="20">
        <v>25</v>
      </c>
      <c r="F5" s="20">
        <v>25</v>
      </c>
      <c r="G5" s="20">
        <v>12</v>
      </c>
      <c r="H5" s="20">
        <v>10</v>
      </c>
      <c r="I5" s="16">
        <f t="shared" si="0"/>
        <v>72</v>
      </c>
      <c r="J5" s="15" t="str">
        <f t="shared" si="1"/>
        <v>Shortlist</v>
      </c>
      <c r="K5" s="15">
        <f t="shared" si="2"/>
        <v>2</v>
      </c>
      <c r="L5" s="19" t="str">
        <f t="shared" si="3"/>
        <v/>
      </c>
      <c r="M5" s="21" t="s">
        <v>102</v>
      </c>
      <c r="N5" s="21" t="s">
        <v>103</v>
      </c>
      <c r="O5" s="21" t="s">
        <v>104</v>
      </c>
      <c r="P5" s="19" t="str">
        <f t="shared" si="4"/>
        <v>CV019|JD3</v>
      </c>
    </row>
    <row r="6" spans="1:16" ht="73.5" customHeight="1" x14ac:dyDescent="0.25">
      <c r="A6" s="19" t="s">
        <v>105</v>
      </c>
      <c r="B6" s="19" t="str">
        <f>INDEX(Resumes!$B$2:$B$101,MATCH(A6,Resumes!$A$2:$A$101,0))</f>
        <v>Kavya Verma</v>
      </c>
      <c r="C6" s="19" t="s">
        <v>97</v>
      </c>
      <c r="D6" s="19" t="str">
        <f>INDEX('Job Descriptions'!$B$2:$B$6,MATCH(C6,'Job Descriptions'!$A$2:$A$6,0))</f>
        <v>Financial Analyst</v>
      </c>
      <c r="E6" s="20">
        <v>25</v>
      </c>
      <c r="F6" s="20">
        <v>20</v>
      </c>
      <c r="G6" s="20">
        <v>20</v>
      </c>
      <c r="H6" s="20">
        <v>3</v>
      </c>
      <c r="I6" s="16">
        <f t="shared" si="0"/>
        <v>68</v>
      </c>
      <c r="J6" s="15" t="str">
        <f t="shared" si="1"/>
        <v>Shortlist</v>
      </c>
      <c r="K6" s="15">
        <f t="shared" si="2"/>
        <v>3</v>
      </c>
      <c r="L6" s="19" t="str">
        <f t="shared" si="3"/>
        <v/>
      </c>
      <c r="M6" s="21" t="s">
        <v>98</v>
      </c>
      <c r="N6" s="21" t="s">
        <v>106</v>
      </c>
      <c r="O6" s="21" t="s">
        <v>107</v>
      </c>
      <c r="P6" s="19" t="str">
        <f t="shared" si="4"/>
        <v>CV025|JD3</v>
      </c>
    </row>
    <row r="7" spans="1:16" ht="73.5" customHeight="1" x14ac:dyDescent="0.25">
      <c r="A7" s="19" t="s">
        <v>108</v>
      </c>
      <c r="B7" s="19" t="str">
        <f>INDEX(Resumes!$B$2:$B$101,MATCH(A7,Resumes!$A$2:$A$101,0))</f>
        <v>Joseph Jadhav</v>
      </c>
      <c r="C7" s="19" t="s">
        <v>97</v>
      </c>
      <c r="D7" s="19" t="str">
        <f>INDEX('Job Descriptions'!$B$2:$B$6,MATCH(C7,'Job Descriptions'!$A$2:$A$6,0))</f>
        <v>Financial Analyst</v>
      </c>
      <c r="E7" s="20">
        <v>25</v>
      </c>
      <c r="F7" s="20">
        <v>12</v>
      </c>
      <c r="G7" s="20">
        <v>20</v>
      </c>
      <c r="H7" s="20">
        <v>10</v>
      </c>
      <c r="I7" s="16">
        <f t="shared" si="0"/>
        <v>67</v>
      </c>
      <c r="J7" s="15" t="str">
        <f t="shared" si="1"/>
        <v>Shortlist</v>
      </c>
      <c r="K7" s="15">
        <f t="shared" si="2"/>
        <v>4</v>
      </c>
      <c r="L7" s="19" t="str">
        <f t="shared" si="3"/>
        <v/>
      </c>
      <c r="M7" s="21" t="s">
        <v>98</v>
      </c>
      <c r="N7" s="21" t="s">
        <v>109</v>
      </c>
      <c r="O7" s="21" t="s">
        <v>110</v>
      </c>
      <c r="P7" s="19" t="str">
        <f t="shared" si="4"/>
        <v>CV055|JD3</v>
      </c>
    </row>
    <row r="8" spans="1:16" ht="73.5" customHeight="1" x14ac:dyDescent="0.25">
      <c r="A8" s="19" t="s">
        <v>111</v>
      </c>
      <c r="B8" s="19" t="str">
        <f>INDEX(Resumes!$B$2:$B$101,MATCH(A8,Resumes!$A$2:$A$101,0))</f>
        <v>Tushar Deshmukh</v>
      </c>
      <c r="C8" s="19" t="s">
        <v>97</v>
      </c>
      <c r="D8" s="19" t="str">
        <f>INDEX('Job Descriptions'!$B$2:$B$6,MATCH(C8,'Job Descriptions'!$A$2:$A$6,0))</f>
        <v>Financial Analyst</v>
      </c>
      <c r="E8" s="20">
        <v>25</v>
      </c>
      <c r="F8" s="20">
        <v>20</v>
      </c>
      <c r="G8" s="20">
        <v>12</v>
      </c>
      <c r="H8" s="20">
        <v>10</v>
      </c>
      <c r="I8" s="16">
        <f t="shared" si="0"/>
        <v>67</v>
      </c>
      <c r="J8" s="15" t="str">
        <f t="shared" si="1"/>
        <v>Shortlist</v>
      </c>
      <c r="K8" s="15">
        <f t="shared" si="2"/>
        <v>4</v>
      </c>
      <c r="L8" s="19" t="str">
        <f t="shared" si="3"/>
        <v/>
      </c>
      <c r="M8" s="21" t="s">
        <v>98</v>
      </c>
      <c r="N8" s="21" t="s">
        <v>112</v>
      </c>
      <c r="O8" s="21" t="s">
        <v>113</v>
      </c>
      <c r="P8" s="19" t="str">
        <f t="shared" si="4"/>
        <v>CV099|JD3</v>
      </c>
    </row>
    <row r="9" spans="1:16" ht="73.5" customHeight="1" x14ac:dyDescent="0.25">
      <c r="A9" s="19" t="s">
        <v>114</v>
      </c>
      <c r="B9" s="19" t="str">
        <f>INDEX(Resumes!$B$2:$B$101,MATCH(A9,Resumes!$A$2:$A$101,0))</f>
        <v>Deepak Desai</v>
      </c>
      <c r="C9" s="19" t="s">
        <v>97</v>
      </c>
      <c r="D9" s="19" t="str">
        <f>INDEX('Job Descriptions'!$B$2:$B$6,MATCH(C9,'Job Descriptions'!$A$2:$A$6,0))</f>
        <v>Financial Analyst</v>
      </c>
      <c r="E9" s="20">
        <v>25</v>
      </c>
      <c r="F9" s="20">
        <v>20</v>
      </c>
      <c r="G9" s="20">
        <v>8</v>
      </c>
      <c r="H9" s="20">
        <v>10</v>
      </c>
      <c r="I9" s="16">
        <f t="shared" si="0"/>
        <v>63</v>
      </c>
      <c r="J9" s="15" t="str">
        <f t="shared" si="1"/>
        <v>Review</v>
      </c>
      <c r="K9" s="15">
        <f t="shared" si="2"/>
        <v>6</v>
      </c>
      <c r="L9" s="19" t="str">
        <f t="shared" si="3"/>
        <v>Capped by minimum-skills rule</v>
      </c>
      <c r="M9" s="21" t="s">
        <v>115</v>
      </c>
      <c r="N9" s="21" t="s">
        <v>116</v>
      </c>
      <c r="O9" s="21" t="s">
        <v>117</v>
      </c>
      <c r="P9" s="19" t="str">
        <f t="shared" si="4"/>
        <v>CV040|JD3</v>
      </c>
    </row>
    <row r="10" spans="1:16" ht="73.5" customHeight="1" x14ac:dyDescent="0.25">
      <c r="A10" s="19" t="s">
        <v>118</v>
      </c>
      <c r="B10" s="19" t="str">
        <f>INDEX(Resumes!$B$2:$B$101,MATCH(A10,Resumes!$A$2:$A$101,0))</f>
        <v>Sneha Verma</v>
      </c>
      <c r="C10" s="19" t="s">
        <v>97</v>
      </c>
      <c r="D10" s="19" t="str">
        <f>INDEX('Job Descriptions'!$B$2:$B$6,MATCH(C10,'Job Descriptions'!$A$2:$A$6,0))</f>
        <v>Financial Analyst</v>
      </c>
      <c r="E10" s="20">
        <v>12</v>
      </c>
      <c r="F10" s="20">
        <v>25</v>
      </c>
      <c r="G10" s="20">
        <v>16</v>
      </c>
      <c r="H10" s="20">
        <v>10</v>
      </c>
      <c r="I10" s="16">
        <f t="shared" si="0"/>
        <v>63</v>
      </c>
      <c r="J10" s="15" t="str">
        <f t="shared" si="1"/>
        <v>Shortlist</v>
      </c>
      <c r="K10" s="15">
        <f t="shared" si="2"/>
        <v>6</v>
      </c>
      <c r="L10" s="19" t="str">
        <f t="shared" si="3"/>
        <v/>
      </c>
      <c r="M10" s="21" t="s">
        <v>119</v>
      </c>
      <c r="N10" s="21" t="s">
        <v>120</v>
      </c>
      <c r="O10" s="21" t="s">
        <v>121</v>
      </c>
      <c r="P10" s="19" t="str">
        <f t="shared" si="4"/>
        <v>CV052|JD3</v>
      </c>
    </row>
    <row r="11" spans="1:16" ht="73.5" customHeight="1" x14ac:dyDescent="0.25">
      <c r="A11" s="19" t="s">
        <v>122</v>
      </c>
      <c r="B11" s="19" t="str">
        <f>INDEX(Resumes!$B$2:$B$101,MATCH(A11,Resumes!$A$2:$A$101,0))</f>
        <v>Riya Mehta</v>
      </c>
      <c r="C11" s="19" t="s">
        <v>97</v>
      </c>
      <c r="D11" s="19" t="str">
        <f>INDEX('Job Descriptions'!$B$2:$B$6,MATCH(C11,'Job Descriptions'!$A$2:$A$6,0))</f>
        <v>Financial Analyst</v>
      </c>
      <c r="E11" s="20">
        <v>12</v>
      </c>
      <c r="F11" s="20">
        <v>25</v>
      </c>
      <c r="G11" s="20">
        <v>16</v>
      </c>
      <c r="H11" s="20">
        <v>10</v>
      </c>
      <c r="I11" s="16">
        <f t="shared" si="0"/>
        <v>63</v>
      </c>
      <c r="J11" s="15" t="str">
        <f t="shared" si="1"/>
        <v>Shortlist</v>
      </c>
      <c r="K11" s="15">
        <f t="shared" si="2"/>
        <v>6</v>
      </c>
      <c r="L11" s="19" t="str">
        <f t="shared" si="3"/>
        <v/>
      </c>
      <c r="M11" s="21" t="s">
        <v>115</v>
      </c>
      <c r="N11" s="21" t="s">
        <v>123</v>
      </c>
      <c r="O11" s="21" t="s">
        <v>124</v>
      </c>
      <c r="P11" s="19" t="str">
        <f t="shared" si="4"/>
        <v>CV089|JD3</v>
      </c>
    </row>
    <row r="12" spans="1:16" ht="73.5" customHeight="1" x14ac:dyDescent="0.25">
      <c r="A12" s="19" t="s">
        <v>125</v>
      </c>
      <c r="B12" s="19" t="str">
        <f>INDEX(Resumes!$B$2:$B$101,MATCH(A12,Resumes!$A$2:$A$101,0))</f>
        <v>Nisha Banerjee</v>
      </c>
      <c r="C12" s="19" t="s">
        <v>97</v>
      </c>
      <c r="D12" s="19" t="str">
        <f>INDEX('Job Descriptions'!$B$2:$B$6,MATCH(C12,'Job Descriptions'!$A$2:$A$6,0))</f>
        <v>Financial Analyst</v>
      </c>
      <c r="E12" s="20">
        <v>25</v>
      </c>
      <c r="F12" s="20">
        <v>12</v>
      </c>
      <c r="G12" s="20">
        <v>12</v>
      </c>
      <c r="H12" s="20">
        <v>10</v>
      </c>
      <c r="I12" s="16">
        <f t="shared" si="0"/>
        <v>59</v>
      </c>
      <c r="J12" s="15" t="str">
        <f t="shared" si="1"/>
        <v>Review</v>
      </c>
      <c r="K12" s="15">
        <f t="shared" si="2"/>
        <v>9</v>
      </c>
      <c r="L12" s="19" t="str">
        <f t="shared" si="3"/>
        <v/>
      </c>
      <c r="M12" s="21" t="s">
        <v>102</v>
      </c>
      <c r="N12" s="21" t="s">
        <v>126</v>
      </c>
      <c r="O12" s="21" t="s">
        <v>127</v>
      </c>
      <c r="P12" s="19" t="str">
        <f t="shared" si="4"/>
        <v>CV044|JD3</v>
      </c>
    </row>
    <row r="13" spans="1:16" ht="73.5" customHeight="1" x14ac:dyDescent="0.25">
      <c r="A13" s="19" t="s">
        <v>128</v>
      </c>
      <c r="B13" s="19" t="str">
        <f>INDEX(Resumes!$B$2:$B$101,MATCH(A13,Resumes!$A$2:$A$101,0))</f>
        <v>Vivaan Nair</v>
      </c>
      <c r="C13" s="19" t="s">
        <v>97</v>
      </c>
      <c r="D13" s="19" t="str">
        <f>INDEX('Job Descriptions'!$B$2:$B$6,MATCH(C13,'Job Descriptions'!$A$2:$A$6,0))</f>
        <v>Financial Analyst</v>
      </c>
      <c r="E13" s="20">
        <v>25</v>
      </c>
      <c r="F13" s="20">
        <v>25</v>
      </c>
      <c r="G13" s="20">
        <v>8</v>
      </c>
      <c r="H13" s="20">
        <v>0</v>
      </c>
      <c r="I13" s="16">
        <f t="shared" si="0"/>
        <v>58</v>
      </c>
      <c r="J13" s="15" t="str">
        <f t="shared" si="1"/>
        <v>Review</v>
      </c>
      <c r="K13" s="15">
        <f t="shared" si="2"/>
        <v>10</v>
      </c>
      <c r="L13" s="19" t="str">
        <f t="shared" si="3"/>
        <v/>
      </c>
      <c r="M13" s="21" t="s">
        <v>115</v>
      </c>
      <c r="N13" s="21" t="s">
        <v>129</v>
      </c>
      <c r="O13" s="21" t="s">
        <v>130</v>
      </c>
      <c r="P13" s="19" t="str">
        <f t="shared" si="4"/>
        <v>CV096|JD3</v>
      </c>
    </row>
    <row r="14" spans="1:16" ht="73.5" customHeight="1" x14ac:dyDescent="0.25">
      <c r="A14" s="19" t="s">
        <v>131</v>
      </c>
      <c r="B14" s="19" t="str">
        <f>INDEX(Resumes!$B$2:$B$101,MATCH(A14,Resumes!$A$2:$A$101,0))</f>
        <v>Farhan Patil</v>
      </c>
      <c r="C14" s="19" t="s">
        <v>97</v>
      </c>
      <c r="D14" s="19" t="str">
        <f>INDEX('Job Descriptions'!$B$2:$B$6,MATCH(C14,'Job Descriptions'!$A$2:$A$6,0))</f>
        <v>Financial Analyst</v>
      </c>
      <c r="E14" s="20">
        <v>6</v>
      </c>
      <c r="F14" s="20">
        <v>25</v>
      </c>
      <c r="G14" s="20">
        <v>16</v>
      </c>
      <c r="H14" s="20">
        <v>10</v>
      </c>
      <c r="I14" s="16">
        <f t="shared" si="0"/>
        <v>57</v>
      </c>
      <c r="J14" s="15" t="str">
        <f t="shared" si="1"/>
        <v>Review</v>
      </c>
      <c r="K14" s="15">
        <f t="shared" si="2"/>
        <v>11</v>
      </c>
      <c r="L14" s="19" t="str">
        <f t="shared" si="3"/>
        <v/>
      </c>
      <c r="M14" s="21" t="s">
        <v>115</v>
      </c>
      <c r="N14" s="21" t="s">
        <v>132</v>
      </c>
      <c r="O14" s="21" t="s">
        <v>133</v>
      </c>
      <c r="P14" s="19" t="str">
        <f t="shared" si="4"/>
        <v>CV005|JD3</v>
      </c>
    </row>
    <row r="15" spans="1:16" ht="73.5" customHeight="1" x14ac:dyDescent="0.25">
      <c r="A15" s="19" t="s">
        <v>134</v>
      </c>
      <c r="B15" s="19" t="str">
        <f>INDEX(Resumes!$B$2:$B$101,MATCH(A15,Resumes!$A$2:$A$101,0))</f>
        <v>Vivaan Das</v>
      </c>
      <c r="C15" s="19" t="s">
        <v>97</v>
      </c>
      <c r="D15" s="19" t="str">
        <f>INDEX('Job Descriptions'!$B$2:$B$6,MATCH(C15,'Job Descriptions'!$A$2:$A$6,0))</f>
        <v>Financial Analyst</v>
      </c>
      <c r="E15" s="20">
        <v>25</v>
      </c>
      <c r="F15" s="20">
        <v>20</v>
      </c>
      <c r="G15" s="20">
        <v>8</v>
      </c>
      <c r="H15" s="20">
        <v>4</v>
      </c>
      <c r="I15" s="16">
        <f t="shared" si="0"/>
        <v>57</v>
      </c>
      <c r="J15" s="15" t="str">
        <f t="shared" si="1"/>
        <v>Review</v>
      </c>
      <c r="K15" s="15">
        <f t="shared" si="2"/>
        <v>11</v>
      </c>
      <c r="L15" s="19" t="str">
        <f t="shared" si="3"/>
        <v/>
      </c>
      <c r="M15" s="21" t="s">
        <v>115</v>
      </c>
      <c r="N15" s="21" t="s">
        <v>135</v>
      </c>
      <c r="O15" s="21" t="s">
        <v>136</v>
      </c>
      <c r="P15" s="19" t="str">
        <f t="shared" si="4"/>
        <v>CV009|JD3</v>
      </c>
    </row>
    <row r="16" spans="1:16" ht="73.5" customHeight="1" x14ac:dyDescent="0.25">
      <c r="A16" s="19" t="s">
        <v>137</v>
      </c>
      <c r="B16" s="19" t="str">
        <f>INDEX(Resumes!$B$2:$B$101,MATCH(A16,Resumes!$A$2:$A$101,0))</f>
        <v>Gauri Mishra</v>
      </c>
      <c r="C16" s="19" t="s">
        <v>97</v>
      </c>
      <c r="D16" s="19" t="str">
        <f>INDEX('Job Descriptions'!$B$2:$B$6,MATCH(C16,'Job Descriptions'!$A$2:$A$6,0))</f>
        <v>Financial Analyst</v>
      </c>
      <c r="E16" s="20">
        <v>12</v>
      </c>
      <c r="F16" s="20">
        <v>25</v>
      </c>
      <c r="G16" s="20">
        <v>16</v>
      </c>
      <c r="H16" s="20">
        <v>4</v>
      </c>
      <c r="I16" s="16">
        <f t="shared" si="0"/>
        <v>57</v>
      </c>
      <c r="J16" s="15" t="str">
        <f t="shared" si="1"/>
        <v>Review</v>
      </c>
      <c r="K16" s="15">
        <f t="shared" si="2"/>
        <v>11</v>
      </c>
      <c r="L16" s="19" t="str">
        <f t="shared" si="3"/>
        <v/>
      </c>
      <c r="M16" s="21" t="s">
        <v>115</v>
      </c>
      <c r="N16" s="21" t="s">
        <v>138</v>
      </c>
      <c r="O16" s="21" t="s">
        <v>133</v>
      </c>
      <c r="P16" s="19" t="str">
        <f t="shared" si="4"/>
        <v>CV011|JD3</v>
      </c>
    </row>
    <row r="17" spans="1:16" ht="73.5" customHeight="1" x14ac:dyDescent="0.25">
      <c r="A17" s="19" t="s">
        <v>139</v>
      </c>
      <c r="B17" s="19" t="str">
        <f>INDEX(Resumes!$B$2:$B$101,MATCH(A17,Resumes!$A$2:$A$101,0))</f>
        <v>Gauri Kulkarni</v>
      </c>
      <c r="C17" s="19" t="s">
        <v>97</v>
      </c>
      <c r="D17" s="19" t="str">
        <f>INDEX('Job Descriptions'!$B$2:$B$6,MATCH(C17,'Job Descriptions'!$A$2:$A$6,0))</f>
        <v>Financial Analyst</v>
      </c>
      <c r="E17" s="20">
        <v>25</v>
      </c>
      <c r="F17" s="20">
        <v>12</v>
      </c>
      <c r="G17" s="20">
        <v>16</v>
      </c>
      <c r="H17" s="20">
        <v>4</v>
      </c>
      <c r="I17" s="16">
        <f t="shared" si="0"/>
        <v>57</v>
      </c>
      <c r="J17" s="15" t="str">
        <f t="shared" si="1"/>
        <v>Review</v>
      </c>
      <c r="K17" s="15">
        <f t="shared" si="2"/>
        <v>11</v>
      </c>
      <c r="L17" s="19" t="str">
        <f t="shared" si="3"/>
        <v/>
      </c>
      <c r="M17" s="21" t="s">
        <v>115</v>
      </c>
      <c r="N17" s="21" t="s">
        <v>140</v>
      </c>
      <c r="O17" s="21" t="s">
        <v>141</v>
      </c>
      <c r="P17" s="19" t="str">
        <f t="shared" si="4"/>
        <v>CV073|JD3</v>
      </c>
    </row>
    <row r="18" spans="1:16" ht="73.5" customHeight="1" x14ac:dyDescent="0.25">
      <c r="A18" s="19" t="s">
        <v>142</v>
      </c>
      <c r="B18" s="19" t="str">
        <f>INDEX(Resumes!$B$2:$B$101,MATCH(A18,Resumes!$A$2:$A$101,0))</f>
        <v>Aditya Desai</v>
      </c>
      <c r="C18" s="19" t="s">
        <v>97</v>
      </c>
      <c r="D18" s="19" t="str">
        <f>INDEX('Job Descriptions'!$B$2:$B$6,MATCH(C18,'Job Descriptions'!$A$2:$A$6,0))</f>
        <v>Financial Analyst</v>
      </c>
      <c r="E18" s="20">
        <v>25</v>
      </c>
      <c r="F18" s="20">
        <v>12</v>
      </c>
      <c r="G18" s="20">
        <v>16</v>
      </c>
      <c r="H18" s="20">
        <v>3</v>
      </c>
      <c r="I18" s="16">
        <f t="shared" si="0"/>
        <v>56</v>
      </c>
      <c r="J18" s="15" t="str">
        <f t="shared" si="1"/>
        <v>Review</v>
      </c>
      <c r="K18" s="15">
        <f t="shared" si="2"/>
        <v>15</v>
      </c>
      <c r="L18" s="19" t="str">
        <f t="shared" si="3"/>
        <v/>
      </c>
      <c r="M18" s="21" t="s">
        <v>115</v>
      </c>
      <c r="N18" s="21" t="s">
        <v>143</v>
      </c>
      <c r="O18" s="21" t="s">
        <v>144</v>
      </c>
      <c r="P18" s="19" t="str">
        <f t="shared" si="4"/>
        <v>CV083|JD3</v>
      </c>
    </row>
    <row r="19" spans="1:16" ht="73.5" customHeight="1" x14ac:dyDescent="0.25">
      <c r="A19" s="19" t="s">
        <v>145</v>
      </c>
      <c r="B19" s="19" t="str">
        <f>INDEX(Resumes!$B$2:$B$101,MATCH(A19,Resumes!$A$2:$A$101,0))</f>
        <v>Lakshmi Gupta</v>
      </c>
      <c r="C19" s="19" t="s">
        <v>97</v>
      </c>
      <c r="D19" s="19" t="str">
        <f>INDEX('Job Descriptions'!$B$2:$B$6,MATCH(C19,'Job Descriptions'!$A$2:$A$6,0))</f>
        <v>Financial Analyst</v>
      </c>
      <c r="E19" s="20">
        <v>25</v>
      </c>
      <c r="F19" s="20">
        <v>20</v>
      </c>
      <c r="G19" s="20">
        <v>8</v>
      </c>
      <c r="H19" s="20">
        <v>3</v>
      </c>
      <c r="I19" s="16">
        <f t="shared" si="0"/>
        <v>56</v>
      </c>
      <c r="J19" s="15" t="str">
        <f t="shared" si="1"/>
        <v>Review</v>
      </c>
      <c r="K19" s="15">
        <f t="shared" si="2"/>
        <v>15</v>
      </c>
      <c r="L19" s="19" t="str">
        <f t="shared" si="3"/>
        <v/>
      </c>
      <c r="M19" s="21" t="s">
        <v>115</v>
      </c>
      <c r="N19" s="21" t="s">
        <v>146</v>
      </c>
      <c r="O19" s="21" t="s">
        <v>117</v>
      </c>
      <c r="P19" s="19" t="str">
        <f t="shared" si="4"/>
        <v>CV087|JD3</v>
      </c>
    </row>
    <row r="20" spans="1:16" ht="73.5" customHeight="1" x14ac:dyDescent="0.25">
      <c r="A20" s="19" t="s">
        <v>147</v>
      </c>
      <c r="B20" s="19" t="str">
        <f>INDEX(Resumes!$B$2:$B$101,MATCH(A20,Resumes!$A$2:$A$101,0))</f>
        <v>Vikram Jadhav</v>
      </c>
      <c r="C20" s="19" t="s">
        <v>97</v>
      </c>
      <c r="D20" s="19" t="str">
        <f>INDEX('Job Descriptions'!$B$2:$B$6,MATCH(C20,'Job Descriptions'!$A$2:$A$6,0))</f>
        <v>Financial Analyst</v>
      </c>
      <c r="E20" s="20">
        <v>25</v>
      </c>
      <c r="F20" s="20">
        <v>12</v>
      </c>
      <c r="G20" s="20">
        <v>8</v>
      </c>
      <c r="H20" s="20">
        <v>10</v>
      </c>
      <c r="I20" s="16">
        <f t="shared" si="0"/>
        <v>55</v>
      </c>
      <c r="J20" s="15" t="str">
        <f t="shared" si="1"/>
        <v>Review</v>
      </c>
      <c r="K20" s="15">
        <f t="shared" si="2"/>
        <v>17</v>
      </c>
      <c r="L20" s="19" t="str">
        <f t="shared" si="3"/>
        <v/>
      </c>
      <c r="M20" s="21" t="s">
        <v>115</v>
      </c>
      <c r="N20" s="21" t="s">
        <v>148</v>
      </c>
      <c r="O20" s="21" t="s">
        <v>149</v>
      </c>
      <c r="P20" s="19" t="str">
        <f t="shared" si="4"/>
        <v>CV016|JD3</v>
      </c>
    </row>
    <row r="21" spans="1:16" ht="73.5" customHeight="1" x14ac:dyDescent="0.25">
      <c r="A21" s="19" t="s">
        <v>150</v>
      </c>
      <c r="B21" s="19" t="str">
        <f>INDEX(Resumes!$B$2:$B$101,MATCH(A21,Resumes!$A$2:$A$101,0))</f>
        <v>Isha Pillai</v>
      </c>
      <c r="C21" s="19" t="s">
        <v>97</v>
      </c>
      <c r="D21" s="19" t="str">
        <f>INDEX('Job Descriptions'!$B$2:$B$6,MATCH(C21,'Job Descriptions'!$A$2:$A$6,0))</f>
        <v>Financial Analyst</v>
      </c>
      <c r="E21" s="20">
        <v>12</v>
      </c>
      <c r="F21" s="20">
        <v>25</v>
      </c>
      <c r="G21" s="20">
        <v>8</v>
      </c>
      <c r="H21" s="20">
        <v>10</v>
      </c>
      <c r="I21" s="16">
        <f t="shared" si="0"/>
        <v>55</v>
      </c>
      <c r="J21" s="15" t="str">
        <f t="shared" si="1"/>
        <v>Review</v>
      </c>
      <c r="K21" s="15">
        <f t="shared" si="2"/>
        <v>17</v>
      </c>
      <c r="L21" s="19" t="str">
        <f t="shared" si="3"/>
        <v/>
      </c>
      <c r="M21" s="21" t="s">
        <v>119</v>
      </c>
      <c r="N21" s="21" t="s">
        <v>151</v>
      </c>
      <c r="O21" s="21" t="s">
        <v>152</v>
      </c>
      <c r="P21" s="19" t="str">
        <f t="shared" si="4"/>
        <v>CV032|JD3</v>
      </c>
    </row>
    <row r="22" spans="1:16" ht="73.5" customHeight="1" x14ac:dyDescent="0.25">
      <c r="A22" s="19" t="s">
        <v>153</v>
      </c>
      <c r="B22" s="19" t="str">
        <f>INDEX(Resumes!$B$2:$B$101,MATCH(A22,Resumes!$A$2:$A$101,0))</f>
        <v>Isha Patil</v>
      </c>
      <c r="C22" s="19" t="s">
        <v>97</v>
      </c>
      <c r="D22" s="19" t="str">
        <f>INDEX('Job Descriptions'!$B$2:$B$6,MATCH(C22,'Job Descriptions'!$A$2:$A$6,0))</f>
        <v>Financial Analyst</v>
      </c>
      <c r="E22" s="20">
        <v>25</v>
      </c>
      <c r="F22" s="20">
        <v>15</v>
      </c>
      <c r="G22" s="20">
        <v>12</v>
      </c>
      <c r="H22" s="20">
        <v>3</v>
      </c>
      <c r="I22" s="16">
        <f t="shared" si="0"/>
        <v>55</v>
      </c>
      <c r="J22" s="15" t="str">
        <f t="shared" si="1"/>
        <v>Review</v>
      </c>
      <c r="K22" s="15">
        <f t="shared" si="2"/>
        <v>17</v>
      </c>
      <c r="L22" s="19" t="str">
        <f t="shared" si="3"/>
        <v/>
      </c>
      <c r="M22" s="21" t="s">
        <v>98</v>
      </c>
      <c r="N22" s="21" t="s">
        <v>154</v>
      </c>
      <c r="O22" s="21" t="s">
        <v>155</v>
      </c>
      <c r="P22" s="19" t="str">
        <f t="shared" si="4"/>
        <v>CV043|JD3</v>
      </c>
    </row>
    <row r="23" spans="1:16" ht="73.5" customHeight="1" x14ac:dyDescent="0.25">
      <c r="A23" s="19" t="s">
        <v>156</v>
      </c>
      <c r="B23" s="19" t="str">
        <f>INDEX(Resumes!$B$2:$B$101,MATCH(A23,Resumes!$A$2:$A$101,0))</f>
        <v>Sandeep Das</v>
      </c>
      <c r="C23" s="19" t="s">
        <v>97</v>
      </c>
      <c r="D23" s="19" t="str">
        <f>INDEX('Job Descriptions'!$B$2:$B$6,MATCH(C23,'Job Descriptions'!$A$2:$A$6,0))</f>
        <v>Financial Analyst</v>
      </c>
      <c r="E23" s="20">
        <v>12</v>
      </c>
      <c r="F23" s="20">
        <v>20</v>
      </c>
      <c r="G23" s="20">
        <v>12</v>
      </c>
      <c r="H23" s="20">
        <v>10</v>
      </c>
      <c r="I23" s="16">
        <f t="shared" si="0"/>
        <v>54</v>
      </c>
      <c r="J23" s="15" t="str">
        <f t="shared" si="1"/>
        <v>Not shortlisted</v>
      </c>
      <c r="K23" s="15">
        <f t="shared" si="2"/>
        <v>20</v>
      </c>
      <c r="L23" s="19" t="str">
        <f t="shared" si="3"/>
        <v/>
      </c>
      <c r="M23" s="21" t="s">
        <v>98</v>
      </c>
      <c r="N23" s="21" t="s">
        <v>157</v>
      </c>
      <c r="O23" s="21" t="s">
        <v>158</v>
      </c>
      <c r="P23" s="19" t="str">
        <f t="shared" si="4"/>
        <v>CV022|JD3</v>
      </c>
    </row>
    <row r="24" spans="1:16" ht="73.5" customHeight="1" x14ac:dyDescent="0.25">
      <c r="A24" s="19" t="s">
        <v>159</v>
      </c>
      <c r="B24" s="19" t="str">
        <f>INDEX(Resumes!$B$2:$B$101,MATCH(A24,Resumes!$A$2:$A$101,0))</f>
        <v>Farhan Banerjee</v>
      </c>
      <c r="C24" s="19" t="s">
        <v>97</v>
      </c>
      <c r="D24" s="19" t="str">
        <f>INDEX('Job Descriptions'!$B$2:$B$6,MATCH(C24,'Job Descriptions'!$A$2:$A$6,0))</f>
        <v>Financial Analyst</v>
      </c>
      <c r="E24" s="20">
        <v>12</v>
      </c>
      <c r="F24" s="20">
        <v>20</v>
      </c>
      <c r="G24" s="20">
        <v>12</v>
      </c>
      <c r="H24" s="20">
        <v>10</v>
      </c>
      <c r="I24" s="16">
        <f t="shared" si="0"/>
        <v>54</v>
      </c>
      <c r="J24" s="15" t="str">
        <f t="shared" si="1"/>
        <v>Not shortlisted</v>
      </c>
      <c r="K24" s="15">
        <f t="shared" si="2"/>
        <v>20</v>
      </c>
      <c r="L24" s="19" t="str">
        <f t="shared" si="3"/>
        <v/>
      </c>
      <c r="M24" s="21" t="s">
        <v>102</v>
      </c>
      <c r="N24" s="21" t="s">
        <v>160</v>
      </c>
      <c r="O24" s="21" t="s">
        <v>158</v>
      </c>
      <c r="P24" s="19" t="str">
        <f t="shared" si="4"/>
        <v>CV072|JD3</v>
      </c>
    </row>
    <row r="25" spans="1:16" ht="73.5" customHeight="1" x14ac:dyDescent="0.25">
      <c r="A25" s="19" t="s">
        <v>161</v>
      </c>
      <c r="B25" s="19" t="str">
        <f>INDEX(Resumes!$B$2:$B$101,MATCH(A25,Resumes!$A$2:$A$101,0))</f>
        <v>Aarav Das</v>
      </c>
      <c r="C25" s="19" t="s">
        <v>97</v>
      </c>
      <c r="D25" s="19" t="str">
        <f>INDEX('Job Descriptions'!$B$2:$B$6,MATCH(C25,'Job Descriptions'!$A$2:$A$6,0))</f>
        <v>Financial Analyst</v>
      </c>
      <c r="E25" s="20">
        <v>25</v>
      </c>
      <c r="F25" s="20">
        <v>12</v>
      </c>
      <c r="G25" s="20">
        <v>16</v>
      </c>
      <c r="H25" s="20">
        <v>0</v>
      </c>
      <c r="I25" s="16">
        <f t="shared" si="0"/>
        <v>53</v>
      </c>
      <c r="J25" s="15" t="str">
        <f t="shared" si="1"/>
        <v>Not shortlisted</v>
      </c>
      <c r="K25" s="15">
        <f t="shared" si="2"/>
        <v>22</v>
      </c>
      <c r="L25" s="19" t="str">
        <f t="shared" si="3"/>
        <v/>
      </c>
      <c r="M25" s="21" t="s">
        <v>115</v>
      </c>
      <c r="N25" s="21" t="s">
        <v>162</v>
      </c>
      <c r="O25" s="21" t="s">
        <v>163</v>
      </c>
      <c r="P25" s="19" t="str">
        <f t="shared" si="4"/>
        <v>CV015|JD3</v>
      </c>
    </row>
    <row r="26" spans="1:16" ht="73.5" customHeight="1" x14ac:dyDescent="0.25">
      <c r="A26" s="19" t="s">
        <v>164</v>
      </c>
      <c r="B26" s="19" t="str">
        <f>INDEX(Resumes!$B$2:$B$101,MATCH(A26,Resumes!$A$2:$A$101,0))</f>
        <v>Gurpreet Chatterjee</v>
      </c>
      <c r="C26" s="19" t="s">
        <v>97</v>
      </c>
      <c r="D26" s="19" t="str">
        <f>INDEX('Job Descriptions'!$B$2:$B$6,MATCH(C26,'Job Descriptions'!$A$2:$A$6,0))</f>
        <v>Financial Analyst</v>
      </c>
      <c r="E26" s="20">
        <v>25</v>
      </c>
      <c r="F26" s="20">
        <v>25</v>
      </c>
      <c r="G26" s="20">
        <v>0</v>
      </c>
      <c r="H26" s="20">
        <v>3</v>
      </c>
      <c r="I26" s="16">
        <f t="shared" si="0"/>
        <v>53</v>
      </c>
      <c r="J26" s="15" t="str">
        <f t="shared" si="1"/>
        <v>Not shortlisted</v>
      </c>
      <c r="K26" s="15">
        <f t="shared" si="2"/>
        <v>22</v>
      </c>
      <c r="L26" s="19" t="str">
        <f t="shared" si="3"/>
        <v/>
      </c>
      <c r="M26" s="21" t="s">
        <v>115</v>
      </c>
      <c r="N26" s="21" t="s">
        <v>165</v>
      </c>
      <c r="O26" s="21" t="s">
        <v>166</v>
      </c>
      <c r="P26" s="19" t="str">
        <f t="shared" si="4"/>
        <v>CV039|JD3</v>
      </c>
    </row>
    <row r="27" spans="1:16" ht="73.5" customHeight="1" x14ac:dyDescent="0.25">
      <c r="A27" s="19" t="s">
        <v>167</v>
      </c>
      <c r="B27" s="19" t="str">
        <f>INDEX(Resumes!$B$2:$B$101,MATCH(A27,Resumes!$A$2:$A$101,0))</f>
        <v>Mary Mukherjee</v>
      </c>
      <c r="C27" s="19" t="s">
        <v>97</v>
      </c>
      <c r="D27" s="19" t="str">
        <f>INDEX('Job Descriptions'!$B$2:$B$6,MATCH(C27,'Job Descriptions'!$A$2:$A$6,0))</f>
        <v>Financial Analyst</v>
      </c>
      <c r="E27" s="20">
        <v>8</v>
      </c>
      <c r="F27" s="20">
        <v>25</v>
      </c>
      <c r="G27" s="20">
        <v>16</v>
      </c>
      <c r="H27" s="20">
        <v>3</v>
      </c>
      <c r="I27" s="16">
        <f t="shared" si="0"/>
        <v>52</v>
      </c>
      <c r="J27" s="15" t="str">
        <f t="shared" si="1"/>
        <v>Not shortlisted</v>
      </c>
      <c r="K27" s="15">
        <f t="shared" si="2"/>
        <v>24</v>
      </c>
      <c r="L27" s="19" t="str">
        <f t="shared" si="3"/>
        <v/>
      </c>
      <c r="M27" s="21" t="s">
        <v>115</v>
      </c>
      <c r="N27" s="21" t="s">
        <v>168</v>
      </c>
      <c r="O27" s="21" t="s">
        <v>133</v>
      </c>
      <c r="P27" s="19" t="str">
        <f t="shared" si="4"/>
        <v>CV003|JD3</v>
      </c>
    </row>
    <row r="28" spans="1:16" ht="73.5" customHeight="1" x14ac:dyDescent="0.25">
      <c r="A28" s="19" t="s">
        <v>169</v>
      </c>
      <c r="B28" s="19" t="str">
        <f>INDEX(Resumes!$B$2:$B$101,MATCH(A28,Resumes!$A$2:$A$101,0))</f>
        <v>Diya Khan</v>
      </c>
      <c r="C28" s="19" t="s">
        <v>97</v>
      </c>
      <c r="D28" s="19" t="str">
        <f>INDEX('Job Descriptions'!$B$2:$B$6,MATCH(C28,'Job Descriptions'!$A$2:$A$6,0))</f>
        <v>Financial Analyst</v>
      </c>
      <c r="E28" s="20">
        <v>12</v>
      </c>
      <c r="F28" s="20">
        <v>25</v>
      </c>
      <c r="G28" s="20">
        <v>12</v>
      </c>
      <c r="H28" s="20">
        <v>3</v>
      </c>
      <c r="I28" s="16">
        <f t="shared" si="0"/>
        <v>52</v>
      </c>
      <c r="J28" s="15" t="str">
        <f t="shared" si="1"/>
        <v>Not shortlisted</v>
      </c>
      <c r="K28" s="15">
        <f t="shared" si="2"/>
        <v>24</v>
      </c>
      <c r="L28" s="19" t="str">
        <f t="shared" si="3"/>
        <v/>
      </c>
      <c r="M28" s="21" t="s">
        <v>98</v>
      </c>
      <c r="N28" s="21" t="s">
        <v>170</v>
      </c>
      <c r="O28" s="21" t="s">
        <v>171</v>
      </c>
      <c r="P28" s="19" t="str">
        <f t="shared" si="4"/>
        <v>CV062|JD3</v>
      </c>
    </row>
    <row r="29" spans="1:16" ht="73.5" customHeight="1" x14ac:dyDescent="0.25">
      <c r="A29" s="19" t="s">
        <v>172</v>
      </c>
      <c r="B29" s="19" t="str">
        <f>INDEX(Resumes!$B$2:$B$101,MATCH(A29,Resumes!$A$2:$A$101,0))</f>
        <v>Lakshmi Mishra</v>
      </c>
      <c r="C29" s="19" t="s">
        <v>97</v>
      </c>
      <c r="D29" s="19" t="str">
        <f>INDEX('Job Descriptions'!$B$2:$B$6,MATCH(C29,'Job Descriptions'!$A$2:$A$6,0))</f>
        <v>Financial Analyst</v>
      </c>
      <c r="E29" s="20">
        <v>25</v>
      </c>
      <c r="F29" s="20">
        <v>20</v>
      </c>
      <c r="G29" s="20">
        <v>4</v>
      </c>
      <c r="H29" s="20">
        <v>3</v>
      </c>
      <c r="I29" s="16">
        <f t="shared" si="0"/>
        <v>52</v>
      </c>
      <c r="J29" s="15" t="str">
        <f t="shared" si="1"/>
        <v>Not shortlisted</v>
      </c>
      <c r="K29" s="15">
        <f t="shared" si="2"/>
        <v>24</v>
      </c>
      <c r="L29" s="19" t="str">
        <f t="shared" si="3"/>
        <v/>
      </c>
      <c r="M29" s="21" t="s">
        <v>98</v>
      </c>
      <c r="N29" s="21" t="s">
        <v>173</v>
      </c>
      <c r="O29" s="21" t="s">
        <v>174</v>
      </c>
      <c r="P29" s="19" t="str">
        <f t="shared" si="4"/>
        <v>CV091|JD3</v>
      </c>
    </row>
    <row r="30" spans="1:16" ht="73.5" customHeight="1" x14ac:dyDescent="0.25">
      <c r="A30" s="19" t="s">
        <v>175</v>
      </c>
      <c r="B30" s="19" t="str">
        <f>INDEX(Resumes!$B$2:$B$101,MATCH(A30,Resumes!$A$2:$A$101,0))</f>
        <v>Gurpreet Shah</v>
      </c>
      <c r="C30" s="19" t="s">
        <v>97</v>
      </c>
      <c r="D30" s="19" t="str">
        <f>INDEX('Job Descriptions'!$B$2:$B$6,MATCH(C30,'Job Descriptions'!$A$2:$A$6,0))</f>
        <v>Financial Analyst</v>
      </c>
      <c r="E30" s="20">
        <v>12</v>
      </c>
      <c r="F30" s="20">
        <v>20</v>
      </c>
      <c r="G30" s="20">
        <v>16</v>
      </c>
      <c r="H30" s="20">
        <v>3</v>
      </c>
      <c r="I30" s="16">
        <f t="shared" si="0"/>
        <v>51</v>
      </c>
      <c r="J30" s="15" t="str">
        <f t="shared" si="1"/>
        <v>Not shortlisted</v>
      </c>
      <c r="K30" s="15">
        <f t="shared" si="2"/>
        <v>27</v>
      </c>
      <c r="L30" s="19" t="str">
        <f t="shared" si="3"/>
        <v/>
      </c>
      <c r="M30" s="21" t="s">
        <v>115</v>
      </c>
      <c r="N30" s="21" t="s">
        <v>176</v>
      </c>
      <c r="O30" s="21" t="s">
        <v>144</v>
      </c>
      <c r="P30" s="19" t="str">
        <f t="shared" si="4"/>
        <v>CV029|JD3</v>
      </c>
    </row>
    <row r="31" spans="1:16" ht="73.5" customHeight="1" x14ac:dyDescent="0.25">
      <c r="A31" s="19" t="s">
        <v>177</v>
      </c>
      <c r="B31" s="19" t="str">
        <f>INDEX(Resumes!$B$2:$B$101,MATCH(A31,Resumes!$A$2:$A$101,0))</f>
        <v>Gurpreet Rao</v>
      </c>
      <c r="C31" s="19" t="s">
        <v>97</v>
      </c>
      <c r="D31" s="19" t="str">
        <f>INDEX('Job Descriptions'!$B$2:$B$6,MATCH(C31,'Job Descriptions'!$A$2:$A$6,0))</f>
        <v>Financial Analyst</v>
      </c>
      <c r="E31" s="20">
        <v>12</v>
      </c>
      <c r="F31" s="20">
        <v>25</v>
      </c>
      <c r="G31" s="20">
        <v>4</v>
      </c>
      <c r="H31" s="20">
        <v>10</v>
      </c>
      <c r="I31" s="16">
        <f t="shared" si="0"/>
        <v>51</v>
      </c>
      <c r="J31" s="15" t="str">
        <f t="shared" si="1"/>
        <v>Not shortlisted</v>
      </c>
      <c r="K31" s="15">
        <f t="shared" si="2"/>
        <v>27</v>
      </c>
      <c r="L31" s="19" t="str">
        <f t="shared" si="3"/>
        <v/>
      </c>
      <c r="M31" s="21" t="s">
        <v>102</v>
      </c>
      <c r="N31" s="21" t="s">
        <v>178</v>
      </c>
      <c r="O31" s="21" t="s">
        <v>179</v>
      </c>
      <c r="P31" s="19" t="str">
        <f t="shared" si="4"/>
        <v>CV084|JD3</v>
      </c>
    </row>
    <row r="32" spans="1:16" ht="73.5" customHeight="1" x14ac:dyDescent="0.25">
      <c r="A32" s="19" t="s">
        <v>180</v>
      </c>
      <c r="B32" s="19" t="str">
        <f>INDEX(Resumes!$B$2:$B$101,MATCH(A32,Resumes!$A$2:$A$101,0))</f>
        <v>Gauri Banerjee</v>
      </c>
      <c r="C32" s="19" t="s">
        <v>97</v>
      </c>
      <c r="D32" s="19" t="str">
        <f>INDEX('Job Descriptions'!$B$2:$B$6,MATCH(C32,'Job Descriptions'!$A$2:$A$6,0))</f>
        <v>Financial Analyst</v>
      </c>
      <c r="E32" s="20">
        <v>6</v>
      </c>
      <c r="F32" s="20">
        <v>25</v>
      </c>
      <c r="G32" s="20">
        <v>16</v>
      </c>
      <c r="H32" s="20">
        <v>3</v>
      </c>
      <c r="I32" s="16">
        <f t="shared" si="0"/>
        <v>50</v>
      </c>
      <c r="J32" s="15" t="str">
        <f t="shared" si="1"/>
        <v>Not shortlisted</v>
      </c>
      <c r="K32" s="15">
        <f t="shared" si="2"/>
        <v>29</v>
      </c>
      <c r="L32" s="19" t="str">
        <f t="shared" si="3"/>
        <v/>
      </c>
      <c r="M32" s="21" t="s">
        <v>115</v>
      </c>
      <c r="N32" s="21" t="s">
        <v>181</v>
      </c>
      <c r="O32" s="21" t="s">
        <v>182</v>
      </c>
      <c r="P32" s="19" t="str">
        <f t="shared" si="4"/>
        <v>CV070|JD3</v>
      </c>
    </row>
    <row r="33" spans="1:16" ht="73.5" customHeight="1" x14ac:dyDescent="0.25">
      <c r="A33" s="19" t="s">
        <v>183</v>
      </c>
      <c r="B33" s="19" t="str">
        <f>INDEX(Resumes!$B$2:$B$101,MATCH(A33,Resumes!$A$2:$A$101,0))</f>
        <v>Deepika Singh</v>
      </c>
      <c r="C33" s="19" t="s">
        <v>97</v>
      </c>
      <c r="D33" s="19" t="str">
        <f>INDEX('Job Descriptions'!$B$2:$B$6,MATCH(C33,'Job Descriptions'!$A$2:$A$6,0))</f>
        <v>Financial Analyst</v>
      </c>
      <c r="E33" s="20">
        <v>6</v>
      </c>
      <c r="F33" s="20">
        <v>25</v>
      </c>
      <c r="G33" s="20">
        <v>16</v>
      </c>
      <c r="H33" s="20">
        <v>3</v>
      </c>
      <c r="I33" s="16">
        <f t="shared" si="0"/>
        <v>50</v>
      </c>
      <c r="J33" s="15" t="str">
        <f t="shared" si="1"/>
        <v>Not shortlisted</v>
      </c>
      <c r="K33" s="15">
        <f t="shared" si="2"/>
        <v>29</v>
      </c>
      <c r="L33" s="19" t="str">
        <f t="shared" si="3"/>
        <v/>
      </c>
      <c r="M33" s="21" t="s">
        <v>115</v>
      </c>
      <c r="N33" s="21" t="s">
        <v>184</v>
      </c>
      <c r="O33" s="21" t="s">
        <v>182</v>
      </c>
      <c r="P33" s="19" t="str">
        <f t="shared" si="4"/>
        <v>CV077|JD3</v>
      </c>
    </row>
    <row r="34" spans="1:16" ht="73.5" customHeight="1" x14ac:dyDescent="0.25">
      <c r="A34" s="19" t="s">
        <v>185</v>
      </c>
      <c r="B34" s="19" t="str">
        <f>INDEX(Resumes!$B$2:$B$101,MATCH(A34,Resumes!$A$2:$A$101,0))</f>
        <v>Kabir Das</v>
      </c>
      <c r="C34" s="19" t="s">
        <v>97</v>
      </c>
      <c r="D34" s="19" t="str">
        <f>INDEX('Job Descriptions'!$B$2:$B$6,MATCH(C34,'Job Descriptions'!$A$2:$A$6,0))</f>
        <v>Financial Analyst</v>
      </c>
      <c r="E34" s="20">
        <v>12</v>
      </c>
      <c r="F34" s="20">
        <v>12</v>
      </c>
      <c r="G34" s="20">
        <v>16</v>
      </c>
      <c r="H34" s="20">
        <v>10</v>
      </c>
      <c r="I34" s="16">
        <f t="shared" si="0"/>
        <v>50</v>
      </c>
      <c r="J34" s="15" t="str">
        <f t="shared" si="1"/>
        <v>Not shortlisted</v>
      </c>
      <c r="K34" s="15">
        <f t="shared" si="2"/>
        <v>29</v>
      </c>
      <c r="L34" s="19" t="str">
        <f t="shared" si="3"/>
        <v/>
      </c>
      <c r="M34" s="21" t="s">
        <v>115</v>
      </c>
      <c r="N34" s="21" t="s">
        <v>186</v>
      </c>
      <c r="O34" s="21" t="s">
        <v>144</v>
      </c>
      <c r="P34" s="19" t="str">
        <f t="shared" si="4"/>
        <v>CV080|JD3</v>
      </c>
    </row>
    <row r="35" spans="1:16" ht="73.5" customHeight="1" x14ac:dyDescent="0.25">
      <c r="A35" s="19" t="s">
        <v>187</v>
      </c>
      <c r="B35" s="19" t="str">
        <f>INDEX(Resumes!$B$2:$B$101,MATCH(A35,Resumes!$A$2:$A$101,0))</f>
        <v>Thomas Nair</v>
      </c>
      <c r="C35" s="19" t="s">
        <v>97</v>
      </c>
      <c r="D35" s="19" t="str">
        <f>INDEX('Job Descriptions'!$B$2:$B$6,MATCH(C35,'Job Descriptions'!$A$2:$A$6,0))</f>
        <v>Financial Analyst</v>
      </c>
      <c r="E35" s="20">
        <v>6</v>
      </c>
      <c r="F35" s="20">
        <v>15</v>
      </c>
      <c r="G35" s="20">
        <v>24</v>
      </c>
      <c r="H35" s="20">
        <v>4</v>
      </c>
      <c r="I35" s="16">
        <f t="shared" si="0"/>
        <v>49</v>
      </c>
      <c r="J35" s="15" t="str">
        <f t="shared" si="1"/>
        <v>Not shortlisted</v>
      </c>
      <c r="K35" s="15">
        <f t="shared" si="2"/>
        <v>32</v>
      </c>
      <c r="L35" s="19" t="str">
        <f t="shared" si="3"/>
        <v/>
      </c>
      <c r="M35" s="21" t="s">
        <v>115</v>
      </c>
      <c r="N35" s="21" t="s">
        <v>188</v>
      </c>
      <c r="O35" s="21" t="s">
        <v>189</v>
      </c>
      <c r="P35" s="19" t="str">
        <f t="shared" si="4"/>
        <v>CV006|JD3</v>
      </c>
    </row>
    <row r="36" spans="1:16" ht="73.5" customHeight="1" x14ac:dyDescent="0.25">
      <c r="A36" s="19" t="s">
        <v>190</v>
      </c>
      <c r="B36" s="19" t="str">
        <f>INDEX(Resumes!$B$2:$B$101,MATCH(A36,Resumes!$A$2:$A$101,0))</f>
        <v>Aisha Gupta</v>
      </c>
      <c r="C36" s="19" t="s">
        <v>97</v>
      </c>
      <c r="D36" s="19" t="str">
        <f>INDEX('Job Descriptions'!$B$2:$B$6,MATCH(C36,'Job Descriptions'!$A$2:$A$6,0))</f>
        <v>Financial Analyst</v>
      </c>
      <c r="E36" s="20">
        <v>12</v>
      </c>
      <c r="F36" s="20">
        <v>25</v>
      </c>
      <c r="G36" s="20">
        <v>8</v>
      </c>
      <c r="H36" s="20">
        <v>4</v>
      </c>
      <c r="I36" s="16">
        <f t="shared" ref="I36:I67" si="5">SUM(E36:H36)</f>
        <v>49</v>
      </c>
      <c r="J36" s="15" t="str">
        <f t="shared" ref="J36:J67" si="6">IF(AND(I36&gt;=SL_CUT,G36&gt;=SL_SKILL),"Shortlist",IF(AND(I36&gt;=RV_CUT,G36&gt;=RV_SKILL),"Review","Not shortlisted"))</f>
        <v>Not shortlisted</v>
      </c>
      <c r="K36" s="15">
        <f t="shared" ref="K36:K67" si="7">COUNTIFS($C$4:$C$203,C36,$I$4:$I$203,"&gt;"&amp;I36)+1</f>
        <v>32</v>
      </c>
      <c r="L36" s="19" t="str">
        <f t="shared" ref="L36:L67" si="8">IF(OR(AND(I36&gt;=SL_CUT,G36&lt;SL_SKILL),AND(I36&gt;=RV_CUT,G36&lt;RV_SKILL)),"Capped by minimum-skills rule","")</f>
        <v/>
      </c>
      <c r="M36" s="21" t="s">
        <v>115</v>
      </c>
      <c r="N36" s="21" t="s">
        <v>191</v>
      </c>
      <c r="O36" s="21" t="s">
        <v>130</v>
      </c>
      <c r="P36" s="19" t="str">
        <f t="shared" ref="P36:P67" si="9">A36&amp;"|"&amp;C36</f>
        <v>CV034|JD3</v>
      </c>
    </row>
    <row r="37" spans="1:16" ht="73.5" customHeight="1" x14ac:dyDescent="0.25">
      <c r="A37" s="19" t="s">
        <v>192</v>
      </c>
      <c r="B37" s="19" t="str">
        <f>INDEX(Resumes!$B$2:$B$101,MATCH(A37,Resumes!$A$2:$A$101,0))</f>
        <v>Riya Kaur</v>
      </c>
      <c r="C37" s="19" t="s">
        <v>97</v>
      </c>
      <c r="D37" s="19" t="str">
        <f>INDEX('Job Descriptions'!$B$2:$B$6,MATCH(C37,'Job Descriptions'!$A$2:$A$6,0))</f>
        <v>Financial Analyst</v>
      </c>
      <c r="E37" s="20">
        <v>6</v>
      </c>
      <c r="F37" s="20">
        <v>25</v>
      </c>
      <c r="G37" s="20">
        <v>8</v>
      </c>
      <c r="H37" s="20">
        <v>10</v>
      </c>
      <c r="I37" s="16">
        <f t="shared" si="5"/>
        <v>49</v>
      </c>
      <c r="J37" s="15" t="str">
        <f t="shared" si="6"/>
        <v>Not shortlisted</v>
      </c>
      <c r="K37" s="15">
        <f t="shared" si="7"/>
        <v>32</v>
      </c>
      <c r="L37" s="19" t="str">
        <f t="shared" si="8"/>
        <v/>
      </c>
      <c r="M37" s="21" t="s">
        <v>115</v>
      </c>
      <c r="N37" s="21" t="s">
        <v>193</v>
      </c>
      <c r="O37" s="21" t="s">
        <v>130</v>
      </c>
      <c r="P37" s="19" t="str">
        <f t="shared" si="9"/>
        <v>CV036|JD3</v>
      </c>
    </row>
    <row r="38" spans="1:16" ht="73.5" customHeight="1" x14ac:dyDescent="0.25">
      <c r="A38" s="19" t="s">
        <v>194</v>
      </c>
      <c r="B38" s="19" t="str">
        <f>INDEX(Resumes!$B$2:$B$101,MATCH(A38,Resumes!$A$2:$A$101,0))</f>
        <v>Simran Menon</v>
      </c>
      <c r="C38" s="19" t="s">
        <v>97</v>
      </c>
      <c r="D38" s="19" t="str">
        <f>INDEX('Job Descriptions'!$B$2:$B$6,MATCH(C38,'Job Descriptions'!$A$2:$A$6,0))</f>
        <v>Financial Analyst</v>
      </c>
      <c r="E38" s="20">
        <v>12</v>
      </c>
      <c r="F38" s="20">
        <v>20</v>
      </c>
      <c r="G38" s="20">
        <v>12</v>
      </c>
      <c r="H38" s="20">
        <v>4</v>
      </c>
      <c r="I38" s="16">
        <f t="shared" si="5"/>
        <v>48</v>
      </c>
      <c r="J38" s="15" t="str">
        <f t="shared" si="6"/>
        <v>Not shortlisted</v>
      </c>
      <c r="K38" s="15">
        <f t="shared" si="7"/>
        <v>35</v>
      </c>
      <c r="L38" s="19" t="str">
        <f t="shared" si="8"/>
        <v/>
      </c>
      <c r="M38" s="21" t="s">
        <v>98</v>
      </c>
      <c r="N38" s="21" t="s">
        <v>195</v>
      </c>
      <c r="O38" s="21" t="s">
        <v>127</v>
      </c>
      <c r="P38" s="19" t="str">
        <f t="shared" si="9"/>
        <v>CV028|JD3</v>
      </c>
    </row>
    <row r="39" spans="1:16" ht="73.5" customHeight="1" x14ac:dyDescent="0.25">
      <c r="A39" s="19" t="s">
        <v>196</v>
      </c>
      <c r="B39" s="19" t="str">
        <f>INDEX(Resumes!$B$2:$B$101,MATCH(A39,Resumes!$A$2:$A$101,0))</f>
        <v>Vikram Sharma</v>
      </c>
      <c r="C39" s="19" t="s">
        <v>97</v>
      </c>
      <c r="D39" s="19" t="str">
        <f>INDEX('Job Descriptions'!$B$2:$B$6,MATCH(C39,'Job Descriptions'!$A$2:$A$6,0))</f>
        <v>Financial Analyst</v>
      </c>
      <c r="E39" s="20">
        <v>12</v>
      </c>
      <c r="F39" s="20">
        <v>25</v>
      </c>
      <c r="G39" s="20">
        <v>8</v>
      </c>
      <c r="H39" s="20">
        <v>3</v>
      </c>
      <c r="I39" s="16">
        <f t="shared" si="5"/>
        <v>48</v>
      </c>
      <c r="J39" s="15" t="str">
        <f t="shared" si="6"/>
        <v>Not shortlisted</v>
      </c>
      <c r="K39" s="15">
        <f t="shared" si="7"/>
        <v>35</v>
      </c>
      <c r="L39" s="19" t="str">
        <f t="shared" si="8"/>
        <v/>
      </c>
      <c r="M39" s="21" t="s">
        <v>115</v>
      </c>
      <c r="N39" s="21" t="s">
        <v>197</v>
      </c>
      <c r="O39" s="21" t="s">
        <v>198</v>
      </c>
      <c r="P39" s="19" t="str">
        <f t="shared" si="9"/>
        <v>CV049|JD3</v>
      </c>
    </row>
    <row r="40" spans="1:16" ht="73.5" customHeight="1" x14ac:dyDescent="0.25">
      <c r="A40" s="19" t="s">
        <v>199</v>
      </c>
      <c r="B40" s="19" t="str">
        <f>INDEX(Resumes!$B$2:$B$101,MATCH(A40,Resumes!$A$2:$A$101,0))</f>
        <v>Diya D'Souza</v>
      </c>
      <c r="C40" s="19" t="s">
        <v>97</v>
      </c>
      <c r="D40" s="19" t="str">
        <f>INDEX('Job Descriptions'!$B$2:$B$6,MATCH(C40,'Job Descriptions'!$A$2:$A$6,0))</f>
        <v>Financial Analyst</v>
      </c>
      <c r="E40" s="20">
        <v>25</v>
      </c>
      <c r="F40" s="20">
        <v>8</v>
      </c>
      <c r="G40" s="20">
        <v>12</v>
      </c>
      <c r="H40" s="20">
        <v>3</v>
      </c>
      <c r="I40" s="16">
        <f t="shared" si="5"/>
        <v>48</v>
      </c>
      <c r="J40" s="15" t="str">
        <f t="shared" si="6"/>
        <v>Not shortlisted</v>
      </c>
      <c r="K40" s="15">
        <f t="shared" si="7"/>
        <v>35</v>
      </c>
      <c r="L40" s="19" t="str">
        <f t="shared" si="8"/>
        <v/>
      </c>
      <c r="M40" s="21" t="s">
        <v>98</v>
      </c>
      <c r="N40" s="21" t="s">
        <v>200</v>
      </c>
      <c r="O40" s="21" t="s">
        <v>201</v>
      </c>
      <c r="P40" s="19" t="str">
        <f t="shared" si="9"/>
        <v>CV065|JD3</v>
      </c>
    </row>
    <row r="41" spans="1:16" ht="73.5" customHeight="1" x14ac:dyDescent="0.25">
      <c r="A41" s="19" t="s">
        <v>202</v>
      </c>
      <c r="B41" s="19" t="str">
        <f>INDEX(Resumes!$B$2:$B$101,MATCH(A41,Resumes!$A$2:$A$101,0))</f>
        <v>Nikhil Mehta</v>
      </c>
      <c r="C41" s="19" t="s">
        <v>97</v>
      </c>
      <c r="D41" s="19" t="str">
        <f>INDEX('Job Descriptions'!$B$2:$B$6,MATCH(C41,'Job Descriptions'!$A$2:$A$6,0))</f>
        <v>Financial Analyst</v>
      </c>
      <c r="E41" s="20">
        <v>12</v>
      </c>
      <c r="F41" s="20">
        <v>20</v>
      </c>
      <c r="G41" s="20">
        <v>12</v>
      </c>
      <c r="H41" s="20">
        <v>4</v>
      </c>
      <c r="I41" s="16">
        <f t="shared" si="5"/>
        <v>48</v>
      </c>
      <c r="J41" s="15" t="str">
        <f t="shared" si="6"/>
        <v>Not shortlisted</v>
      </c>
      <c r="K41" s="15">
        <f t="shared" si="7"/>
        <v>35</v>
      </c>
      <c r="L41" s="19" t="str">
        <f t="shared" si="8"/>
        <v/>
      </c>
      <c r="M41" s="21" t="s">
        <v>98</v>
      </c>
      <c r="N41" s="21" t="s">
        <v>203</v>
      </c>
      <c r="O41" s="21" t="s">
        <v>113</v>
      </c>
      <c r="P41" s="19" t="str">
        <f t="shared" si="9"/>
        <v>CV090|JD3</v>
      </c>
    </row>
    <row r="42" spans="1:16" ht="73.5" customHeight="1" x14ac:dyDescent="0.25">
      <c r="A42" s="19" t="s">
        <v>204</v>
      </c>
      <c r="B42" s="19" t="str">
        <f>INDEX(Resumes!$B$2:$B$101,MATCH(A42,Resumes!$A$2:$A$101,0))</f>
        <v>Aisha Gupta</v>
      </c>
      <c r="C42" s="19" t="s">
        <v>97</v>
      </c>
      <c r="D42" s="19" t="str">
        <f>INDEX('Job Descriptions'!$B$2:$B$6,MATCH(C42,'Job Descriptions'!$A$2:$A$6,0))</f>
        <v>Financial Analyst</v>
      </c>
      <c r="E42" s="20">
        <v>25</v>
      </c>
      <c r="F42" s="20">
        <v>12</v>
      </c>
      <c r="G42" s="20">
        <v>8</v>
      </c>
      <c r="H42" s="20">
        <v>3</v>
      </c>
      <c r="I42" s="16">
        <f t="shared" si="5"/>
        <v>48</v>
      </c>
      <c r="J42" s="15" t="str">
        <f t="shared" si="6"/>
        <v>Not shortlisted</v>
      </c>
      <c r="K42" s="15">
        <f t="shared" si="7"/>
        <v>35</v>
      </c>
      <c r="L42" s="19" t="str">
        <f t="shared" si="8"/>
        <v/>
      </c>
      <c r="M42" s="21" t="s">
        <v>115</v>
      </c>
      <c r="N42" s="21" t="s">
        <v>205</v>
      </c>
      <c r="O42" s="21" t="s">
        <v>136</v>
      </c>
      <c r="P42" s="19" t="str">
        <f t="shared" si="9"/>
        <v>CV092|JD3</v>
      </c>
    </row>
    <row r="43" spans="1:16" ht="73.5" customHeight="1" x14ac:dyDescent="0.25">
      <c r="A43" s="19" t="s">
        <v>206</v>
      </c>
      <c r="B43" s="19" t="str">
        <f>INDEX(Resumes!$B$2:$B$101,MATCH(A43,Resumes!$A$2:$A$101,0))</f>
        <v>Aarav Khan</v>
      </c>
      <c r="C43" s="19" t="s">
        <v>97</v>
      </c>
      <c r="D43" s="19" t="str">
        <f>INDEX('Job Descriptions'!$B$2:$B$6,MATCH(C43,'Job Descriptions'!$A$2:$A$6,0))</f>
        <v>Financial Analyst</v>
      </c>
      <c r="E43" s="20">
        <v>6</v>
      </c>
      <c r="F43" s="20">
        <v>20</v>
      </c>
      <c r="G43" s="20">
        <v>12</v>
      </c>
      <c r="H43" s="20">
        <v>10</v>
      </c>
      <c r="I43" s="16">
        <f t="shared" si="5"/>
        <v>48</v>
      </c>
      <c r="J43" s="15" t="str">
        <f t="shared" si="6"/>
        <v>Not shortlisted</v>
      </c>
      <c r="K43" s="15">
        <f t="shared" si="7"/>
        <v>35</v>
      </c>
      <c r="L43" s="19" t="str">
        <f t="shared" si="8"/>
        <v/>
      </c>
      <c r="M43" s="21" t="s">
        <v>98</v>
      </c>
      <c r="N43" s="21" t="s">
        <v>207</v>
      </c>
      <c r="O43" s="21" t="s">
        <v>113</v>
      </c>
      <c r="P43" s="19" t="str">
        <f t="shared" si="9"/>
        <v>CV094|JD3</v>
      </c>
    </row>
    <row r="44" spans="1:16" ht="73.5" customHeight="1" x14ac:dyDescent="0.25">
      <c r="A44" s="19" t="s">
        <v>208</v>
      </c>
      <c r="B44" s="19" t="str">
        <f>INDEX(Resumes!$B$2:$B$101,MATCH(A44,Resumes!$A$2:$A$101,0))</f>
        <v>Pranav Chatterjee</v>
      </c>
      <c r="C44" s="19" t="s">
        <v>97</v>
      </c>
      <c r="D44" s="19" t="str">
        <f>INDEX('Job Descriptions'!$B$2:$B$6,MATCH(C44,'Job Descriptions'!$A$2:$A$6,0))</f>
        <v>Financial Analyst</v>
      </c>
      <c r="E44" s="20">
        <v>8</v>
      </c>
      <c r="F44" s="20">
        <v>25</v>
      </c>
      <c r="G44" s="20">
        <v>4</v>
      </c>
      <c r="H44" s="20">
        <v>10</v>
      </c>
      <c r="I44" s="16">
        <f t="shared" si="5"/>
        <v>47</v>
      </c>
      <c r="J44" s="15" t="str">
        <f t="shared" si="6"/>
        <v>Not shortlisted</v>
      </c>
      <c r="K44" s="15">
        <f t="shared" si="7"/>
        <v>41</v>
      </c>
      <c r="L44" s="19" t="str">
        <f t="shared" si="8"/>
        <v/>
      </c>
      <c r="M44" s="21" t="s">
        <v>102</v>
      </c>
      <c r="N44" s="21" t="s">
        <v>209</v>
      </c>
      <c r="O44" s="21" t="s">
        <v>179</v>
      </c>
      <c r="P44" s="19" t="str">
        <f t="shared" si="9"/>
        <v>CV020|JD3</v>
      </c>
    </row>
    <row r="45" spans="1:16" ht="73.5" customHeight="1" x14ac:dyDescent="0.25">
      <c r="A45" s="19" t="s">
        <v>210</v>
      </c>
      <c r="B45" s="19" t="str">
        <f>INDEX(Resumes!$B$2:$B$101,MATCH(A45,Resumes!$A$2:$A$101,0))</f>
        <v>Diya Verma</v>
      </c>
      <c r="C45" s="19" t="s">
        <v>97</v>
      </c>
      <c r="D45" s="19" t="str">
        <f>INDEX('Job Descriptions'!$B$2:$B$6,MATCH(C45,'Job Descriptions'!$A$2:$A$6,0))</f>
        <v>Financial Analyst</v>
      </c>
      <c r="E45" s="20">
        <v>6</v>
      </c>
      <c r="F45" s="20">
        <v>25</v>
      </c>
      <c r="G45" s="20">
        <v>16</v>
      </c>
      <c r="H45" s="20">
        <v>0</v>
      </c>
      <c r="I45" s="16">
        <f t="shared" si="5"/>
        <v>47</v>
      </c>
      <c r="J45" s="15" t="str">
        <f t="shared" si="6"/>
        <v>Not shortlisted</v>
      </c>
      <c r="K45" s="15">
        <f t="shared" si="7"/>
        <v>41</v>
      </c>
      <c r="L45" s="19" t="str">
        <f t="shared" si="8"/>
        <v/>
      </c>
      <c r="M45" s="21" t="s">
        <v>115</v>
      </c>
      <c r="N45" s="21" t="s">
        <v>211</v>
      </c>
      <c r="O45" s="21" t="s">
        <v>182</v>
      </c>
      <c r="P45" s="19" t="str">
        <f t="shared" si="9"/>
        <v>CV030|JD3</v>
      </c>
    </row>
    <row r="46" spans="1:16" ht="73.5" customHeight="1" x14ac:dyDescent="0.25">
      <c r="A46" s="19" t="s">
        <v>212</v>
      </c>
      <c r="B46" s="19" t="str">
        <f>INDEX(Resumes!$B$2:$B$101,MATCH(A46,Resumes!$A$2:$A$101,0))</f>
        <v>Divya Chatterjee</v>
      </c>
      <c r="C46" s="19" t="s">
        <v>97</v>
      </c>
      <c r="D46" s="19" t="str">
        <f>INDEX('Job Descriptions'!$B$2:$B$6,MATCH(C46,'Job Descriptions'!$A$2:$A$6,0))</f>
        <v>Financial Analyst</v>
      </c>
      <c r="E46" s="20">
        <v>12</v>
      </c>
      <c r="F46" s="20">
        <v>20</v>
      </c>
      <c r="G46" s="20">
        <v>12</v>
      </c>
      <c r="H46" s="20">
        <v>3</v>
      </c>
      <c r="I46" s="16">
        <f t="shared" si="5"/>
        <v>47</v>
      </c>
      <c r="J46" s="15" t="str">
        <f t="shared" si="6"/>
        <v>Not shortlisted</v>
      </c>
      <c r="K46" s="15">
        <f t="shared" si="7"/>
        <v>41</v>
      </c>
      <c r="L46" s="19" t="str">
        <f t="shared" si="8"/>
        <v/>
      </c>
      <c r="M46" s="21" t="s">
        <v>98</v>
      </c>
      <c r="N46" s="21" t="s">
        <v>213</v>
      </c>
      <c r="O46" s="21" t="s">
        <v>113</v>
      </c>
      <c r="P46" s="19" t="str">
        <f t="shared" si="9"/>
        <v>CV057|JD3</v>
      </c>
    </row>
    <row r="47" spans="1:16" ht="73.5" customHeight="1" x14ac:dyDescent="0.25">
      <c r="A47" s="19" t="s">
        <v>214</v>
      </c>
      <c r="B47" s="19" t="str">
        <f>INDEX(Resumes!$B$2:$B$101,MATCH(A47,Resumes!$A$2:$A$101,0))</f>
        <v>Pooja Verma</v>
      </c>
      <c r="C47" s="19" t="s">
        <v>97</v>
      </c>
      <c r="D47" s="19" t="str">
        <f>INDEX('Job Descriptions'!$B$2:$B$6,MATCH(C47,'Job Descriptions'!$A$2:$A$6,0))</f>
        <v>Financial Analyst</v>
      </c>
      <c r="E47" s="20">
        <v>12</v>
      </c>
      <c r="F47" s="20">
        <v>20</v>
      </c>
      <c r="G47" s="20">
        <v>12</v>
      </c>
      <c r="H47" s="20">
        <v>3</v>
      </c>
      <c r="I47" s="16">
        <f t="shared" si="5"/>
        <v>47</v>
      </c>
      <c r="J47" s="15" t="str">
        <f t="shared" si="6"/>
        <v>Not shortlisted</v>
      </c>
      <c r="K47" s="15">
        <f t="shared" si="7"/>
        <v>41</v>
      </c>
      <c r="L47" s="19" t="str">
        <f t="shared" si="8"/>
        <v/>
      </c>
      <c r="M47" s="21" t="s">
        <v>98</v>
      </c>
      <c r="N47" s="21" t="s">
        <v>215</v>
      </c>
      <c r="O47" s="21" t="s">
        <v>113</v>
      </c>
      <c r="P47" s="19" t="str">
        <f t="shared" si="9"/>
        <v>CV063|JD3</v>
      </c>
    </row>
    <row r="48" spans="1:16" ht="73.5" customHeight="1" x14ac:dyDescent="0.25">
      <c r="A48" s="19" t="s">
        <v>216</v>
      </c>
      <c r="B48" s="19" t="str">
        <f>INDEX(Resumes!$B$2:$B$101,MATCH(A48,Resumes!$A$2:$A$101,0))</f>
        <v>Divya Chatterjee</v>
      </c>
      <c r="C48" s="19" t="s">
        <v>97</v>
      </c>
      <c r="D48" s="19" t="str">
        <f>INDEX('Job Descriptions'!$B$2:$B$6,MATCH(C48,'Job Descriptions'!$A$2:$A$6,0))</f>
        <v>Financial Analyst</v>
      </c>
      <c r="E48" s="20">
        <v>8</v>
      </c>
      <c r="F48" s="20">
        <v>25</v>
      </c>
      <c r="G48" s="20">
        <v>4</v>
      </c>
      <c r="H48" s="20">
        <v>10</v>
      </c>
      <c r="I48" s="16">
        <f t="shared" si="5"/>
        <v>47</v>
      </c>
      <c r="J48" s="15" t="str">
        <f t="shared" si="6"/>
        <v>Not shortlisted</v>
      </c>
      <c r="K48" s="15">
        <f t="shared" si="7"/>
        <v>41</v>
      </c>
      <c r="L48" s="19" t="str">
        <f t="shared" si="8"/>
        <v/>
      </c>
      <c r="M48" s="21" t="s">
        <v>102</v>
      </c>
      <c r="N48" s="21" t="s">
        <v>217</v>
      </c>
      <c r="O48" s="21" t="s">
        <v>179</v>
      </c>
      <c r="P48" s="19" t="str">
        <f t="shared" si="9"/>
        <v>CV079|JD3</v>
      </c>
    </row>
    <row r="49" spans="1:16" ht="73.5" customHeight="1" x14ac:dyDescent="0.25">
      <c r="A49" s="19" t="s">
        <v>218</v>
      </c>
      <c r="B49" s="19" t="str">
        <f>INDEX(Resumes!$B$2:$B$101,MATCH(A49,Resumes!$A$2:$A$101,0))</f>
        <v>Gurpreet Iyer</v>
      </c>
      <c r="C49" s="19" t="s">
        <v>97</v>
      </c>
      <c r="D49" s="19" t="str">
        <f>INDEX('Job Descriptions'!$B$2:$B$6,MATCH(C49,'Job Descriptions'!$A$2:$A$6,0))</f>
        <v>Financial Analyst</v>
      </c>
      <c r="E49" s="20">
        <v>12</v>
      </c>
      <c r="F49" s="20">
        <v>20</v>
      </c>
      <c r="G49" s="20">
        <v>4</v>
      </c>
      <c r="H49" s="20">
        <v>10</v>
      </c>
      <c r="I49" s="16">
        <f t="shared" si="5"/>
        <v>46</v>
      </c>
      <c r="J49" s="15" t="str">
        <f t="shared" si="6"/>
        <v>Not shortlisted</v>
      </c>
      <c r="K49" s="15">
        <f t="shared" si="7"/>
        <v>46</v>
      </c>
      <c r="L49" s="19" t="str">
        <f t="shared" si="8"/>
        <v/>
      </c>
      <c r="M49" s="21" t="s">
        <v>98</v>
      </c>
      <c r="N49" s="21" t="s">
        <v>219</v>
      </c>
      <c r="O49" s="21" t="s">
        <v>174</v>
      </c>
      <c r="P49" s="19" t="str">
        <f t="shared" si="9"/>
        <v>CV056|JD3</v>
      </c>
    </row>
    <row r="50" spans="1:16" ht="73.5" customHeight="1" x14ac:dyDescent="0.25">
      <c r="A50" s="19" t="s">
        <v>220</v>
      </c>
      <c r="B50" s="19" t="str">
        <f>INDEX(Resumes!$B$2:$B$101,MATCH(A50,Resumes!$A$2:$A$101,0))</f>
        <v>Ritu Pawar</v>
      </c>
      <c r="C50" s="19" t="s">
        <v>97</v>
      </c>
      <c r="D50" s="19" t="str">
        <f>INDEX('Job Descriptions'!$B$2:$B$6,MATCH(C50,'Job Descriptions'!$A$2:$A$6,0))</f>
        <v>Financial Analyst</v>
      </c>
      <c r="E50" s="20">
        <v>12</v>
      </c>
      <c r="F50" s="20">
        <v>12</v>
      </c>
      <c r="G50" s="20">
        <v>12</v>
      </c>
      <c r="H50" s="20">
        <v>10</v>
      </c>
      <c r="I50" s="16">
        <f t="shared" si="5"/>
        <v>46</v>
      </c>
      <c r="J50" s="15" t="str">
        <f t="shared" si="6"/>
        <v>Not shortlisted</v>
      </c>
      <c r="K50" s="15">
        <f t="shared" si="7"/>
        <v>46</v>
      </c>
      <c r="L50" s="19" t="str">
        <f t="shared" si="8"/>
        <v/>
      </c>
      <c r="M50" s="21" t="s">
        <v>221</v>
      </c>
      <c r="N50" s="21" t="s">
        <v>222</v>
      </c>
      <c r="O50" s="21" t="s">
        <v>223</v>
      </c>
      <c r="P50" s="19" t="str">
        <f t="shared" si="9"/>
        <v>CV058|JD3</v>
      </c>
    </row>
    <row r="51" spans="1:16" ht="73.5" customHeight="1" x14ac:dyDescent="0.25">
      <c r="A51" s="19" t="s">
        <v>224</v>
      </c>
      <c r="B51" s="19" t="str">
        <f>INDEX(Resumes!$B$2:$B$101,MATCH(A51,Resumes!$A$2:$A$101,0))</f>
        <v>Suresh Nair</v>
      </c>
      <c r="C51" s="19" t="s">
        <v>97</v>
      </c>
      <c r="D51" s="19" t="str">
        <f>INDEX('Job Descriptions'!$B$2:$B$6,MATCH(C51,'Job Descriptions'!$A$2:$A$6,0))</f>
        <v>Financial Analyst</v>
      </c>
      <c r="E51" s="20">
        <v>12</v>
      </c>
      <c r="F51" s="20">
        <v>15</v>
      </c>
      <c r="G51" s="20">
        <v>16</v>
      </c>
      <c r="H51" s="20">
        <v>3</v>
      </c>
      <c r="I51" s="16">
        <f t="shared" si="5"/>
        <v>46</v>
      </c>
      <c r="J51" s="15" t="str">
        <f t="shared" si="6"/>
        <v>Not shortlisted</v>
      </c>
      <c r="K51" s="15">
        <f t="shared" si="7"/>
        <v>46</v>
      </c>
      <c r="L51" s="19" t="str">
        <f t="shared" si="8"/>
        <v/>
      </c>
      <c r="M51" s="21" t="s">
        <v>115</v>
      </c>
      <c r="N51" s="21" t="s">
        <v>225</v>
      </c>
      <c r="O51" s="21" t="s">
        <v>226</v>
      </c>
      <c r="P51" s="19" t="str">
        <f t="shared" si="9"/>
        <v>CV069|JD3</v>
      </c>
    </row>
    <row r="52" spans="1:16" ht="73.5" customHeight="1" x14ac:dyDescent="0.25">
      <c r="A52" s="19" t="s">
        <v>227</v>
      </c>
      <c r="B52" s="19" t="str">
        <f>INDEX(Resumes!$B$2:$B$101,MATCH(A52,Resumes!$A$2:$A$101,0))</f>
        <v>Gauri Agarwal</v>
      </c>
      <c r="C52" s="19" t="s">
        <v>97</v>
      </c>
      <c r="D52" s="19" t="str">
        <f>INDEX('Job Descriptions'!$B$2:$B$6,MATCH(C52,'Job Descriptions'!$A$2:$A$6,0))</f>
        <v>Financial Analyst</v>
      </c>
      <c r="E52" s="20">
        <v>25</v>
      </c>
      <c r="F52" s="20">
        <v>12</v>
      </c>
      <c r="G52" s="20">
        <v>8</v>
      </c>
      <c r="H52" s="20">
        <v>0</v>
      </c>
      <c r="I52" s="16">
        <f t="shared" si="5"/>
        <v>45</v>
      </c>
      <c r="J52" s="15" t="str">
        <f t="shared" si="6"/>
        <v>Not shortlisted</v>
      </c>
      <c r="K52" s="15">
        <f t="shared" si="7"/>
        <v>49</v>
      </c>
      <c r="L52" s="19" t="str">
        <f t="shared" si="8"/>
        <v/>
      </c>
      <c r="M52" s="21" t="s">
        <v>115</v>
      </c>
      <c r="N52" s="21" t="s">
        <v>228</v>
      </c>
      <c r="O52" s="21" t="s">
        <v>136</v>
      </c>
      <c r="P52" s="19" t="str">
        <f t="shared" si="9"/>
        <v>CV007|JD3</v>
      </c>
    </row>
    <row r="53" spans="1:16" ht="73.5" customHeight="1" x14ac:dyDescent="0.25">
      <c r="A53" s="19" t="s">
        <v>229</v>
      </c>
      <c r="B53" s="19" t="str">
        <f>INDEX(Resumes!$B$2:$B$101,MATCH(A53,Resumes!$A$2:$A$101,0))</f>
        <v>Rajesh Shinde</v>
      </c>
      <c r="C53" s="19" t="s">
        <v>97</v>
      </c>
      <c r="D53" s="19" t="str">
        <f>INDEX('Job Descriptions'!$B$2:$B$6,MATCH(C53,'Job Descriptions'!$A$2:$A$6,0))</f>
        <v>Financial Analyst</v>
      </c>
      <c r="E53" s="20">
        <v>25</v>
      </c>
      <c r="F53" s="20">
        <v>20</v>
      </c>
      <c r="G53" s="20">
        <v>0</v>
      </c>
      <c r="H53" s="20">
        <v>0</v>
      </c>
      <c r="I53" s="16">
        <f t="shared" si="5"/>
        <v>45</v>
      </c>
      <c r="J53" s="15" t="str">
        <f t="shared" si="6"/>
        <v>Not shortlisted</v>
      </c>
      <c r="K53" s="15">
        <f t="shared" si="7"/>
        <v>49</v>
      </c>
      <c r="L53" s="19" t="str">
        <f t="shared" si="8"/>
        <v/>
      </c>
      <c r="M53" s="21" t="s">
        <v>115</v>
      </c>
      <c r="N53" s="21" t="s">
        <v>230</v>
      </c>
      <c r="O53" s="21" t="s">
        <v>231</v>
      </c>
      <c r="P53" s="19" t="str">
        <f t="shared" si="9"/>
        <v>CV053|JD3</v>
      </c>
    </row>
    <row r="54" spans="1:16" ht="73.5" customHeight="1" x14ac:dyDescent="0.25">
      <c r="A54" s="19" t="s">
        <v>232</v>
      </c>
      <c r="B54" s="19" t="str">
        <f>INDEX(Resumes!$B$2:$B$101,MATCH(A54,Resumes!$A$2:$A$101,0))</f>
        <v>Simran Mehta</v>
      </c>
      <c r="C54" s="19" t="s">
        <v>97</v>
      </c>
      <c r="D54" s="19" t="str">
        <f>INDEX('Job Descriptions'!$B$2:$B$6,MATCH(C54,'Job Descriptions'!$A$2:$A$6,0))</f>
        <v>Financial Analyst</v>
      </c>
      <c r="E54" s="20">
        <v>12</v>
      </c>
      <c r="F54" s="20">
        <v>25</v>
      </c>
      <c r="G54" s="20">
        <v>4</v>
      </c>
      <c r="H54" s="20">
        <v>3</v>
      </c>
      <c r="I54" s="16">
        <f t="shared" si="5"/>
        <v>44</v>
      </c>
      <c r="J54" s="15" t="str">
        <f t="shared" si="6"/>
        <v>Not shortlisted</v>
      </c>
      <c r="K54" s="15">
        <f t="shared" si="7"/>
        <v>51</v>
      </c>
      <c r="L54" s="19" t="str">
        <f t="shared" si="8"/>
        <v/>
      </c>
      <c r="M54" s="21" t="s">
        <v>98</v>
      </c>
      <c r="N54" s="21" t="s">
        <v>233</v>
      </c>
      <c r="O54" s="21" t="s">
        <v>179</v>
      </c>
      <c r="P54" s="19" t="str">
        <f t="shared" si="9"/>
        <v>CV008|JD3</v>
      </c>
    </row>
    <row r="55" spans="1:16" ht="73.5" customHeight="1" x14ac:dyDescent="0.25">
      <c r="A55" s="19" t="s">
        <v>234</v>
      </c>
      <c r="B55" s="19" t="str">
        <f>INDEX(Resumes!$B$2:$B$101,MATCH(A55,Resumes!$A$2:$A$101,0))</f>
        <v>Meera Shinde</v>
      </c>
      <c r="C55" s="19" t="s">
        <v>97</v>
      </c>
      <c r="D55" s="19" t="str">
        <f>INDEX('Job Descriptions'!$B$2:$B$6,MATCH(C55,'Job Descriptions'!$A$2:$A$6,0))</f>
        <v>Financial Analyst</v>
      </c>
      <c r="E55" s="20">
        <v>25</v>
      </c>
      <c r="F55" s="20">
        <v>8</v>
      </c>
      <c r="G55" s="20">
        <v>8</v>
      </c>
      <c r="H55" s="20">
        <v>3</v>
      </c>
      <c r="I55" s="16">
        <f t="shared" si="5"/>
        <v>44</v>
      </c>
      <c r="J55" s="15" t="str">
        <f t="shared" si="6"/>
        <v>Not shortlisted</v>
      </c>
      <c r="K55" s="15">
        <f t="shared" si="7"/>
        <v>51</v>
      </c>
      <c r="L55" s="19" t="str">
        <f t="shared" si="8"/>
        <v/>
      </c>
      <c r="M55" s="21" t="s">
        <v>115</v>
      </c>
      <c r="N55" s="21" t="s">
        <v>235</v>
      </c>
      <c r="O55" s="21" t="s">
        <v>236</v>
      </c>
      <c r="P55" s="19" t="str">
        <f t="shared" si="9"/>
        <v>CV021|JD3</v>
      </c>
    </row>
    <row r="56" spans="1:16" ht="73.5" customHeight="1" x14ac:dyDescent="0.25">
      <c r="A56" s="19" t="s">
        <v>237</v>
      </c>
      <c r="B56" s="19" t="str">
        <f>INDEX(Resumes!$B$2:$B$101,MATCH(A56,Resumes!$A$2:$A$101,0))</f>
        <v>Swati Shah</v>
      </c>
      <c r="C56" s="19" t="s">
        <v>97</v>
      </c>
      <c r="D56" s="19" t="str">
        <f>INDEX('Job Descriptions'!$B$2:$B$6,MATCH(C56,'Job Descriptions'!$A$2:$A$6,0))</f>
        <v>Financial Analyst</v>
      </c>
      <c r="E56" s="20">
        <v>12</v>
      </c>
      <c r="F56" s="20">
        <v>12</v>
      </c>
      <c r="G56" s="20">
        <v>20</v>
      </c>
      <c r="H56" s="20">
        <v>0</v>
      </c>
      <c r="I56" s="16">
        <f t="shared" si="5"/>
        <v>44</v>
      </c>
      <c r="J56" s="15" t="str">
        <f t="shared" si="6"/>
        <v>Not shortlisted</v>
      </c>
      <c r="K56" s="15">
        <f t="shared" si="7"/>
        <v>51</v>
      </c>
      <c r="L56" s="19" t="str">
        <f t="shared" si="8"/>
        <v/>
      </c>
      <c r="M56" s="21" t="s">
        <v>98</v>
      </c>
      <c r="N56" s="21" t="s">
        <v>238</v>
      </c>
      <c r="O56" s="21" t="s">
        <v>110</v>
      </c>
      <c r="P56" s="19" t="str">
        <f t="shared" si="9"/>
        <v>CV085|JD3</v>
      </c>
    </row>
    <row r="57" spans="1:16" ht="73.5" customHeight="1" x14ac:dyDescent="0.25">
      <c r="A57" s="19" t="s">
        <v>239</v>
      </c>
      <c r="B57" s="19" t="str">
        <f>INDEX(Resumes!$B$2:$B$101,MATCH(A57,Resumes!$A$2:$A$101,0))</f>
        <v>Omkar Jadhav</v>
      </c>
      <c r="C57" s="19" t="s">
        <v>97</v>
      </c>
      <c r="D57" s="19" t="str">
        <f>INDEX('Job Descriptions'!$B$2:$B$6,MATCH(C57,'Job Descriptions'!$A$2:$A$6,0))</f>
        <v>Financial Analyst</v>
      </c>
      <c r="E57" s="20">
        <v>6</v>
      </c>
      <c r="F57" s="20">
        <v>25</v>
      </c>
      <c r="G57" s="20">
        <v>8</v>
      </c>
      <c r="H57" s="20">
        <v>4</v>
      </c>
      <c r="I57" s="16">
        <f t="shared" si="5"/>
        <v>43</v>
      </c>
      <c r="J57" s="15" t="str">
        <f t="shared" si="6"/>
        <v>Not shortlisted</v>
      </c>
      <c r="K57" s="15">
        <f t="shared" si="7"/>
        <v>54</v>
      </c>
      <c r="L57" s="19" t="str">
        <f t="shared" si="8"/>
        <v/>
      </c>
      <c r="M57" s="21" t="s">
        <v>115</v>
      </c>
      <c r="N57" s="21" t="s">
        <v>240</v>
      </c>
      <c r="O57" s="21" t="s">
        <v>198</v>
      </c>
      <c r="P57" s="19" t="str">
        <f t="shared" si="9"/>
        <v>CV013|JD3</v>
      </c>
    </row>
    <row r="58" spans="1:16" ht="73.5" customHeight="1" x14ac:dyDescent="0.25">
      <c r="A58" s="19" t="s">
        <v>241</v>
      </c>
      <c r="B58" s="19" t="str">
        <f>INDEX(Resumes!$B$2:$B$101,MATCH(A58,Resumes!$A$2:$A$101,0))</f>
        <v>Diya Fernandes</v>
      </c>
      <c r="C58" s="19" t="s">
        <v>97</v>
      </c>
      <c r="D58" s="19" t="str">
        <f>INDEX('Job Descriptions'!$B$2:$B$6,MATCH(C58,'Job Descriptions'!$A$2:$A$6,0))</f>
        <v>Financial Analyst</v>
      </c>
      <c r="E58" s="20">
        <v>12</v>
      </c>
      <c r="F58" s="20">
        <v>20</v>
      </c>
      <c r="G58" s="20">
        <v>8</v>
      </c>
      <c r="H58" s="20">
        <v>3</v>
      </c>
      <c r="I58" s="16">
        <f t="shared" si="5"/>
        <v>43</v>
      </c>
      <c r="J58" s="15" t="str">
        <f t="shared" si="6"/>
        <v>Not shortlisted</v>
      </c>
      <c r="K58" s="15">
        <f t="shared" si="7"/>
        <v>54</v>
      </c>
      <c r="L58" s="19" t="str">
        <f t="shared" si="8"/>
        <v/>
      </c>
      <c r="M58" s="21" t="s">
        <v>115</v>
      </c>
      <c r="N58" s="21" t="s">
        <v>242</v>
      </c>
      <c r="O58" s="21" t="s">
        <v>243</v>
      </c>
      <c r="P58" s="19" t="str">
        <f t="shared" si="9"/>
        <v>CV042|JD3</v>
      </c>
    </row>
    <row r="59" spans="1:16" ht="73.5" customHeight="1" x14ac:dyDescent="0.25">
      <c r="A59" s="19" t="s">
        <v>244</v>
      </c>
      <c r="B59" s="19" t="str">
        <f>INDEX(Resumes!$B$2:$B$101,MATCH(A59,Resumes!$A$2:$A$101,0))</f>
        <v>Simran Fernandes</v>
      </c>
      <c r="C59" s="19" t="s">
        <v>97</v>
      </c>
      <c r="D59" s="19" t="str">
        <f>INDEX('Job Descriptions'!$B$2:$B$6,MATCH(C59,'Job Descriptions'!$A$2:$A$6,0))</f>
        <v>Financial Analyst</v>
      </c>
      <c r="E59" s="20">
        <v>12</v>
      </c>
      <c r="F59" s="20">
        <v>20</v>
      </c>
      <c r="G59" s="20">
        <v>8</v>
      </c>
      <c r="H59" s="20">
        <v>3</v>
      </c>
      <c r="I59" s="16">
        <f t="shared" si="5"/>
        <v>43</v>
      </c>
      <c r="J59" s="15" t="str">
        <f t="shared" si="6"/>
        <v>Not shortlisted</v>
      </c>
      <c r="K59" s="15">
        <f t="shared" si="7"/>
        <v>54</v>
      </c>
      <c r="L59" s="19" t="str">
        <f t="shared" si="8"/>
        <v/>
      </c>
      <c r="M59" s="21" t="s">
        <v>115</v>
      </c>
      <c r="N59" s="21" t="s">
        <v>245</v>
      </c>
      <c r="O59" s="21" t="s">
        <v>117</v>
      </c>
      <c r="P59" s="19" t="str">
        <f t="shared" si="9"/>
        <v>CV046|JD3</v>
      </c>
    </row>
    <row r="60" spans="1:16" ht="73.5" customHeight="1" x14ac:dyDescent="0.25">
      <c r="A60" s="19" t="s">
        <v>246</v>
      </c>
      <c r="B60" s="19" t="str">
        <f>INDEX(Resumes!$B$2:$B$101,MATCH(A60,Resumes!$A$2:$A$101,0))</f>
        <v>Siddharth Gupta</v>
      </c>
      <c r="C60" s="19" t="s">
        <v>97</v>
      </c>
      <c r="D60" s="19" t="str">
        <f>INDEX('Job Descriptions'!$B$2:$B$6,MATCH(C60,'Job Descriptions'!$A$2:$A$6,0))</f>
        <v>Financial Analyst</v>
      </c>
      <c r="E60" s="20">
        <v>6</v>
      </c>
      <c r="F60" s="20">
        <v>15</v>
      </c>
      <c r="G60" s="20">
        <v>12</v>
      </c>
      <c r="H60" s="20">
        <v>10</v>
      </c>
      <c r="I60" s="16">
        <f t="shared" si="5"/>
        <v>43</v>
      </c>
      <c r="J60" s="15" t="str">
        <f t="shared" si="6"/>
        <v>Not shortlisted</v>
      </c>
      <c r="K60" s="15">
        <f t="shared" si="7"/>
        <v>54</v>
      </c>
      <c r="L60" s="19" t="str">
        <f t="shared" si="8"/>
        <v/>
      </c>
      <c r="M60" s="21" t="s">
        <v>98</v>
      </c>
      <c r="N60" s="21" t="s">
        <v>247</v>
      </c>
      <c r="O60" s="21" t="s">
        <v>201</v>
      </c>
      <c r="P60" s="19" t="str">
        <f t="shared" si="9"/>
        <v>CV050|JD3</v>
      </c>
    </row>
    <row r="61" spans="1:16" ht="73.5" customHeight="1" x14ac:dyDescent="0.25">
      <c r="A61" s="19" t="s">
        <v>248</v>
      </c>
      <c r="B61" s="19" t="str">
        <f>INDEX(Resumes!$B$2:$B$101,MATCH(A61,Resumes!$A$2:$A$101,0))</f>
        <v>Sneha Das</v>
      </c>
      <c r="C61" s="19" t="s">
        <v>97</v>
      </c>
      <c r="D61" s="19" t="str">
        <f>INDEX('Job Descriptions'!$B$2:$B$6,MATCH(C61,'Job Descriptions'!$A$2:$A$6,0))</f>
        <v>Financial Analyst</v>
      </c>
      <c r="E61" s="20">
        <v>12</v>
      </c>
      <c r="F61" s="20">
        <v>12</v>
      </c>
      <c r="G61" s="20">
        <v>16</v>
      </c>
      <c r="H61" s="20">
        <v>3</v>
      </c>
      <c r="I61" s="16">
        <f t="shared" si="5"/>
        <v>43</v>
      </c>
      <c r="J61" s="15" t="str">
        <f t="shared" si="6"/>
        <v>Not shortlisted</v>
      </c>
      <c r="K61" s="15">
        <f t="shared" si="7"/>
        <v>54</v>
      </c>
      <c r="L61" s="19" t="str">
        <f t="shared" si="8"/>
        <v/>
      </c>
      <c r="M61" s="21" t="s">
        <v>115</v>
      </c>
      <c r="N61" s="21" t="s">
        <v>249</v>
      </c>
      <c r="O61" s="21" t="s">
        <v>141</v>
      </c>
      <c r="P61" s="19" t="str">
        <f t="shared" si="9"/>
        <v>CV054|JD3</v>
      </c>
    </row>
    <row r="62" spans="1:16" ht="73.5" customHeight="1" x14ac:dyDescent="0.25">
      <c r="A62" s="19" t="s">
        <v>250</v>
      </c>
      <c r="B62" s="19" t="str">
        <f>INDEX(Resumes!$B$2:$B$101,MATCH(A62,Resumes!$A$2:$A$101,0))</f>
        <v>Nikhil Pillai</v>
      </c>
      <c r="C62" s="19" t="s">
        <v>97</v>
      </c>
      <c r="D62" s="19" t="str">
        <f>INDEX('Job Descriptions'!$B$2:$B$6,MATCH(C62,'Job Descriptions'!$A$2:$A$6,0))</f>
        <v>Financial Analyst</v>
      </c>
      <c r="E62" s="20">
        <v>12</v>
      </c>
      <c r="F62" s="20">
        <v>12</v>
      </c>
      <c r="G62" s="20">
        <v>16</v>
      </c>
      <c r="H62" s="20">
        <v>3</v>
      </c>
      <c r="I62" s="16">
        <f t="shared" si="5"/>
        <v>43</v>
      </c>
      <c r="J62" s="15" t="str">
        <f t="shared" si="6"/>
        <v>Not shortlisted</v>
      </c>
      <c r="K62" s="15">
        <f t="shared" si="7"/>
        <v>54</v>
      </c>
      <c r="L62" s="19" t="str">
        <f t="shared" si="8"/>
        <v/>
      </c>
      <c r="M62" s="21" t="s">
        <v>115</v>
      </c>
      <c r="N62" s="21" t="s">
        <v>251</v>
      </c>
      <c r="O62" s="21" t="s">
        <v>163</v>
      </c>
      <c r="P62" s="19" t="str">
        <f t="shared" si="9"/>
        <v>CV075|JD3</v>
      </c>
    </row>
    <row r="63" spans="1:16" ht="73.5" customHeight="1" x14ac:dyDescent="0.25">
      <c r="A63" s="19" t="s">
        <v>252</v>
      </c>
      <c r="B63" s="19" t="str">
        <f>INDEX(Resumes!$B$2:$B$101,MATCH(A63,Resumes!$A$2:$A$101,0))</f>
        <v>Kabir Reddy</v>
      </c>
      <c r="C63" s="19" t="s">
        <v>97</v>
      </c>
      <c r="D63" s="19" t="str">
        <f>INDEX('Job Descriptions'!$B$2:$B$6,MATCH(C63,'Job Descriptions'!$A$2:$A$6,0))</f>
        <v>Financial Analyst</v>
      </c>
      <c r="E63" s="20">
        <v>12</v>
      </c>
      <c r="F63" s="20">
        <v>20</v>
      </c>
      <c r="G63" s="20">
        <v>8</v>
      </c>
      <c r="H63" s="20">
        <v>3</v>
      </c>
      <c r="I63" s="16">
        <f t="shared" si="5"/>
        <v>43</v>
      </c>
      <c r="J63" s="15" t="str">
        <f t="shared" si="6"/>
        <v>Not shortlisted</v>
      </c>
      <c r="K63" s="15">
        <f t="shared" si="7"/>
        <v>54</v>
      </c>
      <c r="L63" s="19" t="str">
        <f t="shared" si="8"/>
        <v/>
      </c>
      <c r="M63" s="21" t="s">
        <v>115</v>
      </c>
      <c r="N63" s="21" t="s">
        <v>253</v>
      </c>
      <c r="O63" s="21" t="s">
        <v>117</v>
      </c>
      <c r="P63" s="19" t="str">
        <f t="shared" si="9"/>
        <v>CV081|JD3</v>
      </c>
    </row>
    <row r="64" spans="1:16" ht="73.5" customHeight="1" x14ac:dyDescent="0.25">
      <c r="A64" s="19" t="s">
        <v>254</v>
      </c>
      <c r="B64" s="19" t="str">
        <f>INDEX(Resumes!$B$2:$B$101,MATCH(A64,Resumes!$A$2:$A$101,0))</f>
        <v>Gauri Chatterjee</v>
      </c>
      <c r="C64" s="19" t="s">
        <v>97</v>
      </c>
      <c r="D64" s="19" t="str">
        <f>INDEX('Job Descriptions'!$B$2:$B$6,MATCH(C64,'Job Descriptions'!$A$2:$A$6,0))</f>
        <v>Financial Analyst</v>
      </c>
      <c r="E64" s="20">
        <v>12</v>
      </c>
      <c r="F64" s="20">
        <v>8</v>
      </c>
      <c r="G64" s="20">
        <v>12</v>
      </c>
      <c r="H64" s="20">
        <v>10</v>
      </c>
      <c r="I64" s="16">
        <f t="shared" si="5"/>
        <v>42</v>
      </c>
      <c r="J64" s="15" t="str">
        <f t="shared" si="6"/>
        <v>Not shortlisted</v>
      </c>
      <c r="K64" s="15">
        <f t="shared" si="7"/>
        <v>61</v>
      </c>
      <c r="L64" s="19" t="str">
        <f t="shared" si="8"/>
        <v/>
      </c>
      <c r="M64" s="21" t="s">
        <v>221</v>
      </c>
      <c r="N64" s="21" t="s">
        <v>255</v>
      </c>
      <c r="O64" s="21" t="s">
        <v>256</v>
      </c>
      <c r="P64" s="19" t="str">
        <f t="shared" si="9"/>
        <v>CV012|JD3</v>
      </c>
    </row>
    <row r="65" spans="1:16" ht="73.5" customHeight="1" x14ac:dyDescent="0.25">
      <c r="A65" s="19" t="s">
        <v>257</v>
      </c>
      <c r="B65" s="19" t="str">
        <f>INDEX(Resumes!$B$2:$B$101,MATCH(A65,Resumes!$A$2:$A$101,0))</f>
        <v>Swati Singh</v>
      </c>
      <c r="C65" s="19" t="s">
        <v>97</v>
      </c>
      <c r="D65" s="19" t="str">
        <f>INDEX('Job Descriptions'!$B$2:$B$6,MATCH(C65,'Job Descriptions'!$A$2:$A$6,0))</f>
        <v>Financial Analyst</v>
      </c>
      <c r="E65" s="20">
        <v>8</v>
      </c>
      <c r="F65" s="20">
        <v>20</v>
      </c>
      <c r="G65" s="20">
        <v>4</v>
      </c>
      <c r="H65" s="20">
        <v>10</v>
      </c>
      <c r="I65" s="16">
        <f t="shared" si="5"/>
        <v>42</v>
      </c>
      <c r="J65" s="15" t="str">
        <f t="shared" si="6"/>
        <v>Not shortlisted</v>
      </c>
      <c r="K65" s="15">
        <f t="shared" si="7"/>
        <v>61</v>
      </c>
      <c r="L65" s="19" t="str">
        <f t="shared" si="8"/>
        <v/>
      </c>
      <c r="M65" s="21" t="s">
        <v>98</v>
      </c>
      <c r="N65" s="21" t="s">
        <v>258</v>
      </c>
      <c r="O65" s="21" t="s">
        <v>174</v>
      </c>
      <c r="P65" s="19" t="str">
        <f t="shared" si="9"/>
        <v>CV014|JD3</v>
      </c>
    </row>
    <row r="66" spans="1:16" ht="73.5" customHeight="1" x14ac:dyDescent="0.25">
      <c r="A66" s="19" t="s">
        <v>259</v>
      </c>
      <c r="B66" s="19" t="str">
        <f>INDEX(Resumes!$B$2:$B$101,MATCH(A66,Resumes!$A$2:$A$101,0))</f>
        <v>Rohan Iyer</v>
      </c>
      <c r="C66" s="19" t="s">
        <v>97</v>
      </c>
      <c r="D66" s="19" t="str">
        <f>INDEX('Job Descriptions'!$B$2:$B$6,MATCH(C66,'Job Descriptions'!$A$2:$A$6,0))</f>
        <v>Financial Analyst</v>
      </c>
      <c r="E66" s="20">
        <v>6</v>
      </c>
      <c r="F66" s="20">
        <v>25</v>
      </c>
      <c r="G66" s="20">
        <v>8</v>
      </c>
      <c r="H66" s="20">
        <v>3</v>
      </c>
      <c r="I66" s="16">
        <f t="shared" si="5"/>
        <v>42</v>
      </c>
      <c r="J66" s="15" t="str">
        <f t="shared" si="6"/>
        <v>Not shortlisted</v>
      </c>
      <c r="K66" s="15">
        <f t="shared" si="7"/>
        <v>61</v>
      </c>
      <c r="L66" s="19" t="str">
        <f t="shared" si="8"/>
        <v/>
      </c>
      <c r="M66" s="21" t="s">
        <v>115</v>
      </c>
      <c r="N66" s="21" t="s">
        <v>260</v>
      </c>
      <c r="O66" s="21" t="s">
        <v>198</v>
      </c>
      <c r="P66" s="19" t="str">
        <f t="shared" si="9"/>
        <v>CV027|JD3</v>
      </c>
    </row>
    <row r="67" spans="1:16" ht="73.5" customHeight="1" x14ac:dyDescent="0.25">
      <c r="A67" s="19" t="s">
        <v>261</v>
      </c>
      <c r="B67" s="19" t="str">
        <f>INDEX(Resumes!$B$2:$B$101,MATCH(A67,Resumes!$A$2:$A$101,0))</f>
        <v>Deepak D'Souza</v>
      </c>
      <c r="C67" s="19" t="s">
        <v>97</v>
      </c>
      <c r="D67" s="19" t="str">
        <f>INDEX('Job Descriptions'!$B$2:$B$6,MATCH(C67,'Job Descriptions'!$A$2:$A$6,0))</f>
        <v>Financial Analyst</v>
      </c>
      <c r="E67" s="20">
        <v>12</v>
      </c>
      <c r="F67" s="20">
        <v>15</v>
      </c>
      <c r="G67" s="20">
        <v>12</v>
      </c>
      <c r="H67" s="20">
        <v>3</v>
      </c>
      <c r="I67" s="16">
        <f t="shared" si="5"/>
        <v>42</v>
      </c>
      <c r="J67" s="15" t="str">
        <f t="shared" si="6"/>
        <v>Not shortlisted</v>
      </c>
      <c r="K67" s="15">
        <f t="shared" si="7"/>
        <v>61</v>
      </c>
      <c r="L67" s="19" t="str">
        <f t="shared" si="8"/>
        <v/>
      </c>
      <c r="M67" s="21" t="s">
        <v>98</v>
      </c>
      <c r="N67" s="21" t="s">
        <v>262</v>
      </c>
      <c r="O67" s="21" t="s">
        <v>155</v>
      </c>
      <c r="P67" s="19" t="str">
        <f t="shared" si="9"/>
        <v>CV035|JD3</v>
      </c>
    </row>
    <row r="68" spans="1:16" ht="73.5" customHeight="1" x14ac:dyDescent="0.25">
      <c r="A68" s="19" t="s">
        <v>263</v>
      </c>
      <c r="B68" s="19" t="str">
        <f>INDEX(Resumes!$B$2:$B$101,MATCH(A68,Resumes!$A$2:$A$101,0))</f>
        <v>Gurpreet D'Souza</v>
      </c>
      <c r="C68" s="19" t="s">
        <v>97</v>
      </c>
      <c r="D68" s="19" t="str">
        <f>INDEX('Job Descriptions'!$B$2:$B$6,MATCH(C68,'Job Descriptions'!$A$2:$A$6,0))</f>
        <v>Financial Analyst</v>
      </c>
      <c r="E68" s="20">
        <v>8</v>
      </c>
      <c r="F68" s="20">
        <v>20</v>
      </c>
      <c r="G68" s="20">
        <v>4</v>
      </c>
      <c r="H68" s="20">
        <v>10</v>
      </c>
      <c r="I68" s="16">
        <f t="shared" ref="I68:I99" si="10">SUM(E68:H68)</f>
        <v>42</v>
      </c>
      <c r="J68" s="15" t="str">
        <f t="shared" ref="J68:J99" si="11">IF(AND(I68&gt;=SL_CUT,G68&gt;=SL_SKILL),"Shortlist",IF(AND(I68&gt;=RV_CUT,G68&gt;=RV_SKILL),"Review","Not shortlisted"))</f>
        <v>Not shortlisted</v>
      </c>
      <c r="K68" s="15">
        <f t="shared" ref="K68:K99" si="12">COUNTIFS($C$4:$C$203,C68,$I$4:$I$203,"&gt;"&amp;I68)+1</f>
        <v>61</v>
      </c>
      <c r="L68" s="19" t="str">
        <f t="shared" ref="L68:L99" si="13">IF(OR(AND(I68&gt;=SL_CUT,G68&lt;SL_SKILL),AND(I68&gt;=RV_CUT,G68&lt;RV_SKILL)),"Capped by minimum-skills rule","")</f>
        <v/>
      </c>
      <c r="M68" s="21" t="s">
        <v>102</v>
      </c>
      <c r="N68" s="21" t="s">
        <v>264</v>
      </c>
      <c r="O68" s="21" t="s">
        <v>174</v>
      </c>
      <c r="P68" s="19" t="str">
        <f t="shared" ref="P68:P99" si="14">A68&amp;"|"&amp;C68</f>
        <v>CV038|JD3</v>
      </c>
    </row>
    <row r="69" spans="1:16" ht="73.5" customHeight="1" x14ac:dyDescent="0.25">
      <c r="A69" s="19" t="s">
        <v>265</v>
      </c>
      <c r="B69" s="19" t="str">
        <f>INDEX(Resumes!$B$2:$B$101,MATCH(A69,Resumes!$A$2:$A$101,0))</f>
        <v>Ishaan Kaur</v>
      </c>
      <c r="C69" s="19" t="s">
        <v>97</v>
      </c>
      <c r="D69" s="19" t="str">
        <f>INDEX('Job Descriptions'!$B$2:$B$6,MATCH(C69,'Job Descriptions'!$A$2:$A$6,0))</f>
        <v>Financial Analyst</v>
      </c>
      <c r="E69" s="20">
        <v>6</v>
      </c>
      <c r="F69" s="20">
        <v>25</v>
      </c>
      <c r="G69" s="20">
        <v>8</v>
      </c>
      <c r="H69" s="20">
        <v>3</v>
      </c>
      <c r="I69" s="16">
        <f t="shared" si="10"/>
        <v>42</v>
      </c>
      <c r="J69" s="15" t="str">
        <f t="shared" si="11"/>
        <v>Not shortlisted</v>
      </c>
      <c r="K69" s="15">
        <f t="shared" si="12"/>
        <v>61</v>
      </c>
      <c r="L69" s="19" t="str">
        <f t="shared" si="13"/>
        <v/>
      </c>
      <c r="M69" s="21" t="s">
        <v>115</v>
      </c>
      <c r="N69" s="21" t="s">
        <v>266</v>
      </c>
      <c r="O69" s="21" t="s">
        <v>267</v>
      </c>
      <c r="P69" s="19" t="str">
        <f t="shared" si="14"/>
        <v>CV060|JD3</v>
      </c>
    </row>
    <row r="70" spans="1:16" ht="73.5" customHeight="1" x14ac:dyDescent="0.25">
      <c r="A70" s="19" t="s">
        <v>268</v>
      </c>
      <c r="B70" s="19" t="str">
        <f>INDEX(Resumes!$B$2:$B$101,MATCH(A70,Resumes!$A$2:$A$101,0))</f>
        <v>Sandeep Patil</v>
      </c>
      <c r="C70" s="19" t="s">
        <v>97</v>
      </c>
      <c r="D70" s="19" t="str">
        <f>INDEX('Job Descriptions'!$B$2:$B$6,MATCH(C70,'Job Descriptions'!$A$2:$A$6,0))</f>
        <v>Financial Analyst</v>
      </c>
      <c r="E70" s="20">
        <v>12</v>
      </c>
      <c r="F70" s="20">
        <v>12</v>
      </c>
      <c r="G70" s="20">
        <v>8</v>
      </c>
      <c r="H70" s="20">
        <v>10</v>
      </c>
      <c r="I70" s="16">
        <f t="shared" si="10"/>
        <v>42</v>
      </c>
      <c r="J70" s="15" t="str">
        <f t="shared" si="11"/>
        <v>Not shortlisted</v>
      </c>
      <c r="K70" s="15">
        <f t="shared" si="12"/>
        <v>61</v>
      </c>
      <c r="L70" s="19" t="str">
        <f t="shared" si="13"/>
        <v/>
      </c>
      <c r="M70" s="21" t="s">
        <v>119</v>
      </c>
      <c r="N70" s="21" t="s">
        <v>269</v>
      </c>
      <c r="O70" s="21" t="s">
        <v>270</v>
      </c>
      <c r="P70" s="19" t="str">
        <f t="shared" si="14"/>
        <v>CV093|JD3</v>
      </c>
    </row>
    <row r="71" spans="1:16" ht="73.5" customHeight="1" x14ac:dyDescent="0.25">
      <c r="A71" s="19" t="s">
        <v>271</v>
      </c>
      <c r="B71" s="19" t="str">
        <f>INDEX(Resumes!$B$2:$B$101,MATCH(A71,Resumes!$A$2:$A$101,0))</f>
        <v>Harleen Joshi</v>
      </c>
      <c r="C71" s="19" t="s">
        <v>97</v>
      </c>
      <c r="D71" s="19" t="str">
        <f>INDEX('Job Descriptions'!$B$2:$B$6,MATCH(C71,'Job Descriptions'!$A$2:$A$6,0))</f>
        <v>Financial Analyst</v>
      </c>
      <c r="E71" s="20">
        <v>12</v>
      </c>
      <c r="F71" s="20">
        <v>15</v>
      </c>
      <c r="G71" s="20">
        <v>12</v>
      </c>
      <c r="H71" s="20">
        <v>3</v>
      </c>
      <c r="I71" s="16">
        <f t="shared" si="10"/>
        <v>42</v>
      </c>
      <c r="J71" s="15" t="str">
        <f t="shared" si="11"/>
        <v>Not shortlisted</v>
      </c>
      <c r="K71" s="15">
        <f t="shared" si="12"/>
        <v>61</v>
      </c>
      <c r="L71" s="19" t="str">
        <f t="shared" si="13"/>
        <v/>
      </c>
      <c r="M71" s="21" t="s">
        <v>98</v>
      </c>
      <c r="N71" s="21" t="s">
        <v>272</v>
      </c>
      <c r="O71" s="21" t="s">
        <v>273</v>
      </c>
      <c r="P71" s="19" t="str">
        <f t="shared" si="14"/>
        <v>CV098|JD3</v>
      </c>
    </row>
    <row r="72" spans="1:16" ht="73.5" customHeight="1" x14ac:dyDescent="0.25">
      <c r="A72" s="19" t="s">
        <v>274</v>
      </c>
      <c r="B72" s="19" t="str">
        <f>INDEX(Resumes!$B$2:$B$101,MATCH(A72,Resumes!$A$2:$A$101,0))</f>
        <v>Suresh Kaur</v>
      </c>
      <c r="C72" s="19" t="s">
        <v>97</v>
      </c>
      <c r="D72" s="19" t="str">
        <f>INDEX('Job Descriptions'!$B$2:$B$6,MATCH(C72,'Job Descriptions'!$A$2:$A$6,0))</f>
        <v>Financial Analyst</v>
      </c>
      <c r="E72" s="20">
        <v>25</v>
      </c>
      <c r="F72" s="20">
        <v>8</v>
      </c>
      <c r="G72" s="20">
        <v>8</v>
      </c>
      <c r="H72" s="20">
        <v>0</v>
      </c>
      <c r="I72" s="16">
        <f t="shared" si="10"/>
        <v>41</v>
      </c>
      <c r="J72" s="15" t="str">
        <f t="shared" si="11"/>
        <v>Not shortlisted</v>
      </c>
      <c r="K72" s="15">
        <f t="shared" si="12"/>
        <v>69</v>
      </c>
      <c r="L72" s="19" t="str">
        <f t="shared" si="13"/>
        <v/>
      </c>
      <c r="M72" s="21" t="s">
        <v>115</v>
      </c>
      <c r="N72" s="21" t="s">
        <v>275</v>
      </c>
      <c r="O72" s="21" t="s">
        <v>276</v>
      </c>
      <c r="P72" s="19" t="str">
        <f t="shared" si="14"/>
        <v>CV023|JD3</v>
      </c>
    </row>
    <row r="73" spans="1:16" ht="73.5" customHeight="1" x14ac:dyDescent="0.25">
      <c r="A73" s="19" t="s">
        <v>277</v>
      </c>
      <c r="B73" s="19" t="str">
        <f>INDEX(Resumes!$B$2:$B$101,MATCH(A73,Resumes!$A$2:$A$101,0))</f>
        <v>Anjali Mehta</v>
      </c>
      <c r="C73" s="19" t="s">
        <v>97</v>
      </c>
      <c r="D73" s="19" t="str">
        <f>INDEX('Job Descriptions'!$B$2:$B$6,MATCH(C73,'Job Descriptions'!$A$2:$A$6,0))</f>
        <v>Financial Analyst</v>
      </c>
      <c r="E73" s="20">
        <v>6</v>
      </c>
      <c r="F73" s="20">
        <v>20</v>
      </c>
      <c r="G73" s="20">
        <v>12</v>
      </c>
      <c r="H73" s="20">
        <v>3</v>
      </c>
      <c r="I73" s="16">
        <f t="shared" si="10"/>
        <v>41</v>
      </c>
      <c r="J73" s="15" t="str">
        <f t="shared" si="11"/>
        <v>Not shortlisted</v>
      </c>
      <c r="K73" s="15">
        <f t="shared" si="12"/>
        <v>69</v>
      </c>
      <c r="L73" s="19" t="str">
        <f t="shared" si="13"/>
        <v/>
      </c>
      <c r="M73" s="21" t="s">
        <v>98</v>
      </c>
      <c r="N73" s="21" t="s">
        <v>278</v>
      </c>
      <c r="O73" s="21" t="s">
        <v>127</v>
      </c>
      <c r="P73" s="19" t="str">
        <f t="shared" si="14"/>
        <v>CV024|JD3</v>
      </c>
    </row>
    <row r="74" spans="1:16" ht="73.5" customHeight="1" x14ac:dyDescent="0.25">
      <c r="A74" s="19" t="s">
        <v>279</v>
      </c>
      <c r="B74" s="19" t="str">
        <f>INDEX(Resumes!$B$2:$B$101,MATCH(A74,Resumes!$A$2:$A$101,0))</f>
        <v>Aditya Banerjee</v>
      </c>
      <c r="C74" s="19" t="s">
        <v>97</v>
      </c>
      <c r="D74" s="19" t="str">
        <f>INDEX('Job Descriptions'!$B$2:$B$6,MATCH(C74,'Job Descriptions'!$A$2:$A$6,0))</f>
        <v>Financial Analyst</v>
      </c>
      <c r="E74" s="20">
        <v>12</v>
      </c>
      <c r="F74" s="20">
        <v>25</v>
      </c>
      <c r="G74" s="20">
        <v>0</v>
      </c>
      <c r="H74" s="20">
        <v>3</v>
      </c>
      <c r="I74" s="16">
        <f t="shared" si="10"/>
        <v>40</v>
      </c>
      <c r="J74" s="15" t="str">
        <f t="shared" si="11"/>
        <v>Not shortlisted</v>
      </c>
      <c r="K74" s="15">
        <f t="shared" si="12"/>
        <v>71</v>
      </c>
      <c r="L74" s="19" t="str">
        <f t="shared" si="13"/>
        <v/>
      </c>
      <c r="M74" s="21" t="s">
        <v>115</v>
      </c>
      <c r="N74" s="21" t="s">
        <v>280</v>
      </c>
      <c r="O74" s="21" t="s">
        <v>166</v>
      </c>
      <c r="P74" s="19" t="str">
        <f t="shared" si="14"/>
        <v>CV033|JD3</v>
      </c>
    </row>
    <row r="75" spans="1:16" ht="73.5" customHeight="1" x14ac:dyDescent="0.25">
      <c r="A75" s="19" t="s">
        <v>281</v>
      </c>
      <c r="B75" s="19" t="str">
        <f>INDEX(Resumes!$B$2:$B$101,MATCH(A75,Resumes!$A$2:$A$101,0))</f>
        <v>Pooja Das</v>
      </c>
      <c r="C75" s="19" t="s">
        <v>97</v>
      </c>
      <c r="D75" s="19" t="str">
        <f>INDEX('Job Descriptions'!$B$2:$B$6,MATCH(C75,'Job Descriptions'!$A$2:$A$6,0))</f>
        <v>Financial Analyst</v>
      </c>
      <c r="E75" s="20">
        <v>25</v>
      </c>
      <c r="F75" s="20">
        <v>15</v>
      </c>
      <c r="G75" s="20">
        <v>0</v>
      </c>
      <c r="H75" s="20">
        <v>0</v>
      </c>
      <c r="I75" s="16">
        <f t="shared" si="10"/>
        <v>40</v>
      </c>
      <c r="J75" s="15" t="str">
        <f t="shared" si="11"/>
        <v>Not shortlisted</v>
      </c>
      <c r="K75" s="15">
        <f t="shared" si="12"/>
        <v>71</v>
      </c>
      <c r="L75" s="19" t="str">
        <f t="shared" si="13"/>
        <v/>
      </c>
      <c r="M75" s="21" t="s">
        <v>115</v>
      </c>
      <c r="N75" s="21" t="s">
        <v>282</v>
      </c>
      <c r="O75" s="21" t="s">
        <v>283</v>
      </c>
      <c r="P75" s="19" t="str">
        <f t="shared" si="14"/>
        <v>CV045|JD3</v>
      </c>
    </row>
    <row r="76" spans="1:16" ht="73.5" customHeight="1" x14ac:dyDescent="0.25">
      <c r="A76" s="19" t="s">
        <v>284</v>
      </c>
      <c r="B76" s="19" t="str">
        <f>INDEX(Resumes!$B$2:$B$101,MATCH(A76,Resumes!$A$2:$A$101,0))</f>
        <v>Simran Reddy</v>
      </c>
      <c r="C76" s="19" t="s">
        <v>97</v>
      </c>
      <c r="D76" s="19" t="str">
        <f>INDEX('Job Descriptions'!$B$2:$B$6,MATCH(C76,'Job Descriptions'!$A$2:$A$6,0))</f>
        <v>Financial Analyst</v>
      </c>
      <c r="E76" s="20">
        <v>12</v>
      </c>
      <c r="F76" s="20">
        <v>20</v>
      </c>
      <c r="G76" s="20">
        <v>4</v>
      </c>
      <c r="H76" s="20">
        <v>4</v>
      </c>
      <c r="I76" s="16">
        <f t="shared" si="10"/>
        <v>40</v>
      </c>
      <c r="J76" s="15" t="str">
        <f t="shared" si="11"/>
        <v>Not shortlisted</v>
      </c>
      <c r="K76" s="15">
        <f t="shared" si="12"/>
        <v>71</v>
      </c>
      <c r="L76" s="19" t="str">
        <f t="shared" si="13"/>
        <v/>
      </c>
      <c r="M76" s="21" t="s">
        <v>98</v>
      </c>
      <c r="N76" s="21" t="s">
        <v>285</v>
      </c>
      <c r="O76" s="21" t="s">
        <v>174</v>
      </c>
      <c r="P76" s="19" t="str">
        <f t="shared" si="14"/>
        <v>CV086|JD3</v>
      </c>
    </row>
    <row r="77" spans="1:16" ht="73.5" customHeight="1" x14ac:dyDescent="0.25">
      <c r="A77" s="19" t="s">
        <v>286</v>
      </c>
      <c r="B77" s="19" t="str">
        <f>INDEX(Resumes!$B$2:$B$101,MATCH(A77,Resumes!$A$2:$A$101,0))</f>
        <v>Manish Iyer</v>
      </c>
      <c r="C77" s="19" t="s">
        <v>97</v>
      </c>
      <c r="D77" s="19" t="str">
        <f>INDEX('Job Descriptions'!$B$2:$B$6,MATCH(C77,'Job Descriptions'!$A$2:$A$6,0))</f>
        <v>Financial Analyst</v>
      </c>
      <c r="E77" s="20">
        <v>8</v>
      </c>
      <c r="F77" s="20">
        <v>12</v>
      </c>
      <c r="G77" s="20">
        <v>16</v>
      </c>
      <c r="H77" s="20">
        <v>4</v>
      </c>
      <c r="I77" s="16">
        <f t="shared" si="10"/>
        <v>40</v>
      </c>
      <c r="J77" s="15" t="str">
        <f t="shared" si="11"/>
        <v>Not shortlisted</v>
      </c>
      <c r="K77" s="15">
        <f t="shared" si="12"/>
        <v>71</v>
      </c>
      <c r="L77" s="19" t="str">
        <f t="shared" si="13"/>
        <v/>
      </c>
      <c r="M77" s="21" t="s">
        <v>115</v>
      </c>
      <c r="N77" s="21" t="s">
        <v>287</v>
      </c>
      <c r="O77" s="21" t="s">
        <v>288</v>
      </c>
      <c r="P77" s="19" t="str">
        <f t="shared" si="14"/>
        <v>CV097|JD3</v>
      </c>
    </row>
    <row r="78" spans="1:16" ht="73.5" customHeight="1" x14ac:dyDescent="0.25">
      <c r="A78" s="19" t="s">
        <v>289</v>
      </c>
      <c r="B78" s="19" t="str">
        <f>INDEX(Resumes!$B$2:$B$101,MATCH(A78,Resumes!$A$2:$A$101,0))</f>
        <v>Meera Menon</v>
      </c>
      <c r="C78" s="19" t="s">
        <v>97</v>
      </c>
      <c r="D78" s="19" t="str">
        <f>INDEX('Job Descriptions'!$B$2:$B$6,MATCH(C78,'Job Descriptions'!$A$2:$A$6,0))</f>
        <v>Financial Analyst</v>
      </c>
      <c r="E78" s="20">
        <v>12</v>
      </c>
      <c r="F78" s="20">
        <v>15</v>
      </c>
      <c r="G78" s="20">
        <v>8</v>
      </c>
      <c r="H78" s="20">
        <v>3</v>
      </c>
      <c r="I78" s="16">
        <f t="shared" si="10"/>
        <v>38</v>
      </c>
      <c r="J78" s="15" t="str">
        <f t="shared" si="11"/>
        <v>Not shortlisted</v>
      </c>
      <c r="K78" s="15">
        <f t="shared" si="12"/>
        <v>75</v>
      </c>
      <c r="L78" s="19" t="str">
        <f t="shared" si="13"/>
        <v/>
      </c>
      <c r="M78" s="21" t="s">
        <v>115</v>
      </c>
      <c r="N78" s="21" t="s">
        <v>290</v>
      </c>
      <c r="O78" s="21" t="s">
        <v>291</v>
      </c>
      <c r="P78" s="19" t="str">
        <f t="shared" si="14"/>
        <v>CV004|JD3</v>
      </c>
    </row>
    <row r="79" spans="1:16" ht="73.5" customHeight="1" x14ac:dyDescent="0.25">
      <c r="A79" s="19" t="s">
        <v>292</v>
      </c>
      <c r="B79" s="19" t="str">
        <f>INDEX(Resumes!$B$2:$B$101,MATCH(A79,Resumes!$A$2:$A$101,0))</f>
        <v>Neha Gupta</v>
      </c>
      <c r="C79" s="19" t="s">
        <v>97</v>
      </c>
      <c r="D79" s="19" t="str">
        <f>INDEX('Job Descriptions'!$B$2:$B$6,MATCH(C79,'Job Descriptions'!$A$2:$A$6,0))</f>
        <v>Financial Analyst</v>
      </c>
      <c r="E79" s="20">
        <v>6</v>
      </c>
      <c r="F79" s="20">
        <v>20</v>
      </c>
      <c r="G79" s="20">
        <v>8</v>
      </c>
      <c r="H79" s="20">
        <v>4</v>
      </c>
      <c r="I79" s="16">
        <f t="shared" si="10"/>
        <v>38</v>
      </c>
      <c r="J79" s="15" t="str">
        <f t="shared" si="11"/>
        <v>Not shortlisted</v>
      </c>
      <c r="K79" s="15">
        <f t="shared" si="12"/>
        <v>75</v>
      </c>
      <c r="L79" s="19" t="str">
        <f t="shared" si="13"/>
        <v/>
      </c>
      <c r="M79" s="21" t="s">
        <v>115</v>
      </c>
      <c r="N79" s="21" t="s">
        <v>293</v>
      </c>
      <c r="O79" s="21" t="s">
        <v>149</v>
      </c>
      <c r="P79" s="19" t="str">
        <f t="shared" si="14"/>
        <v>CV041|JD3</v>
      </c>
    </row>
    <row r="80" spans="1:16" ht="73.5" customHeight="1" x14ac:dyDescent="0.25">
      <c r="A80" s="19" t="s">
        <v>294</v>
      </c>
      <c r="B80" s="19" t="str">
        <f>INDEX(Resumes!$B$2:$B$101,MATCH(A80,Resumes!$A$2:$A$101,0))</f>
        <v>Manish Patil</v>
      </c>
      <c r="C80" s="19" t="s">
        <v>97</v>
      </c>
      <c r="D80" s="19" t="str">
        <f>INDEX('Job Descriptions'!$B$2:$B$6,MATCH(C80,'Job Descriptions'!$A$2:$A$6,0))</f>
        <v>Financial Analyst</v>
      </c>
      <c r="E80" s="20">
        <v>6</v>
      </c>
      <c r="F80" s="20">
        <v>15</v>
      </c>
      <c r="G80" s="20">
        <v>16</v>
      </c>
      <c r="H80" s="20">
        <v>0</v>
      </c>
      <c r="I80" s="16">
        <f t="shared" si="10"/>
        <v>37</v>
      </c>
      <c r="J80" s="15" t="str">
        <f t="shared" si="11"/>
        <v>Not shortlisted</v>
      </c>
      <c r="K80" s="15">
        <f t="shared" si="12"/>
        <v>77</v>
      </c>
      <c r="L80" s="19" t="str">
        <f t="shared" si="13"/>
        <v/>
      </c>
      <c r="M80" s="21" t="s">
        <v>115</v>
      </c>
      <c r="N80" s="21" t="s">
        <v>295</v>
      </c>
      <c r="O80" s="21" t="s">
        <v>226</v>
      </c>
      <c r="P80" s="19" t="str">
        <f t="shared" si="14"/>
        <v>CV088|JD3</v>
      </c>
    </row>
    <row r="81" spans="1:16" ht="73.5" customHeight="1" x14ac:dyDescent="0.25">
      <c r="A81" s="19" t="s">
        <v>296</v>
      </c>
      <c r="B81" s="19" t="str">
        <f>INDEX(Resumes!$B$2:$B$101,MATCH(A81,Resumes!$A$2:$A$101,0))</f>
        <v>Deepak Nair</v>
      </c>
      <c r="C81" s="19" t="s">
        <v>97</v>
      </c>
      <c r="D81" s="19" t="str">
        <f>INDEX('Job Descriptions'!$B$2:$B$6,MATCH(C81,'Job Descriptions'!$A$2:$A$6,0))</f>
        <v>Financial Analyst</v>
      </c>
      <c r="E81" s="20">
        <v>25</v>
      </c>
      <c r="F81" s="20">
        <v>8</v>
      </c>
      <c r="G81" s="20">
        <v>0</v>
      </c>
      <c r="H81" s="20">
        <v>4</v>
      </c>
      <c r="I81" s="16">
        <f t="shared" si="10"/>
        <v>37</v>
      </c>
      <c r="J81" s="15" t="str">
        <f t="shared" si="11"/>
        <v>Not shortlisted</v>
      </c>
      <c r="K81" s="15">
        <f t="shared" si="12"/>
        <v>77</v>
      </c>
      <c r="L81" s="19" t="str">
        <f t="shared" si="13"/>
        <v/>
      </c>
      <c r="M81" s="21" t="s">
        <v>115</v>
      </c>
      <c r="N81" s="21" t="s">
        <v>297</v>
      </c>
      <c r="O81" s="21" t="s">
        <v>283</v>
      </c>
      <c r="P81" s="19" t="str">
        <f t="shared" si="14"/>
        <v>CV095|JD3</v>
      </c>
    </row>
    <row r="82" spans="1:16" ht="73.5" customHeight="1" x14ac:dyDescent="0.25">
      <c r="A82" s="19" t="s">
        <v>298</v>
      </c>
      <c r="B82" s="19" t="str">
        <f>INDEX(Resumes!$B$2:$B$101,MATCH(A82,Resumes!$A$2:$A$101,0))</f>
        <v>Madhuri Agarwal</v>
      </c>
      <c r="C82" s="19" t="s">
        <v>97</v>
      </c>
      <c r="D82" s="19" t="str">
        <f>INDEX('Job Descriptions'!$B$2:$B$6,MATCH(C82,'Job Descriptions'!$A$2:$A$6,0))</f>
        <v>Financial Analyst</v>
      </c>
      <c r="E82" s="20">
        <v>8</v>
      </c>
      <c r="F82" s="20">
        <v>25</v>
      </c>
      <c r="G82" s="20">
        <v>0</v>
      </c>
      <c r="H82" s="20">
        <v>3</v>
      </c>
      <c r="I82" s="16">
        <f t="shared" si="10"/>
        <v>36</v>
      </c>
      <c r="J82" s="15" t="str">
        <f t="shared" si="11"/>
        <v>Not shortlisted</v>
      </c>
      <c r="K82" s="15">
        <f t="shared" si="12"/>
        <v>79</v>
      </c>
      <c r="L82" s="19" t="str">
        <f t="shared" si="13"/>
        <v/>
      </c>
      <c r="M82" s="21" t="s">
        <v>115</v>
      </c>
      <c r="N82" s="21" t="s">
        <v>299</v>
      </c>
      <c r="O82" s="21" t="s">
        <v>166</v>
      </c>
      <c r="P82" s="19" t="str">
        <f t="shared" si="14"/>
        <v>CV010|JD3</v>
      </c>
    </row>
    <row r="83" spans="1:16" ht="73.5" customHeight="1" x14ac:dyDescent="0.25">
      <c r="A83" s="19" t="s">
        <v>300</v>
      </c>
      <c r="B83" s="19" t="str">
        <f>INDEX(Resumes!$B$2:$B$101,MATCH(A83,Resumes!$A$2:$A$101,0))</f>
        <v>Pallavi Mukherjee</v>
      </c>
      <c r="C83" s="19" t="s">
        <v>97</v>
      </c>
      <c r="D83" s="19" t="str">
        <f>INDEX('Job Descriptions'!$B$2:$B$6,MATCH(C83,'Job Descriptions'!$A$2:$A$6,0))</f>
        <v>Financial Analyst</v>
      </c>
      <c r="E83" s="20">
        <v>12</v>
      </c>
      <c r="F83" s="20">
        <v>12</v>
      </c>
      <c r="G83" s="20">
        <v>8</v>
      </c>
      <c r="H83" s="20">
        <v>4</v>
      </c>
      <c r="I83" s="16">
        <f t="shared" si="10"/>
        <v>36</v>
      </c>
      <c r="J83" s="15" t="str">
        <f t="shared" si="11"/>
        <v>Not shortlisted</v>
      </c>
      <c r="K83" s="15">
        <f t="shared" si="12"/>
        <v>79</v>
      </c>
      <c r="L83" s="19" t="str">
        <f t="shared" si="13"/>
        <v/>
      </c>
      <c r="M83" s="21" t="s">
        <v>115</v>
      </c>
      <c r="N83" s="21" t="s">
        <v>301</v>
      </c>
      <c r="O83" s="21" t="s">
        <v>243</v>
      </c>
      <c r="P83" s="19" t="str">
        <f t="shared" si="14"/>
        <v>CV047|JD3</v>
      </c>
    </row>
    <row r="84" spans="1:16" ht="73.5" customHeight="1" x14ac:dyDescent="0.25">
      <c r="A84" s="19" t="s">
        <v>302</v>
      </c>
      <c r="B84" s="19" t="str">
        <f>INDEX(Resumes!$B$2:$B$101,MATCH(A84,Resumes!$A$2:$A$101,0))</f>
        <v>Simran Mehta</v>
      </c>
      <c r="C84" s="19" t="s">
        <v>97</v>
      </c>
      <c r="D84" s="19" t="str">
        <f>INDEX('Job Descriptions'!$B$2:$B$6,MATCH(C84,'Job Descriptions'!$A$2:$A$6,0))</f>
        <v>Financial Analyst</v>
      </c>
      <c r="E84" s="20">
        <v>8</v>
      </c>
      <c r="F84" s="20">
        <v>20</v>
      </c>
      <c r="G84" s="20">
        <v>8</v>
      </c>
      <c r="H84" s="20">
        <v>0</v>
      </c>
      <c r="I84" s="16">
        <f t="shared" si="10"/>
        <v>36</v>
      </c>
      <c r="J84" s="15" t="str">
        <f t="shared" si="11"/>
        <v>Not shortlisted</v>
      </c>
      <c r="K84" s="15">
        <f t="shared" si="12"/>
        <v>79</v>
      </c>
      <c r="L84" s="19" t="str">
        <f t="shared" si="13"/>
        <v/>
      </c>
      <c r="M84" s="21" t="s">
        <v>115</v>
      </c>
      <c r="N84" s="21" t="s">
        <v>303</v>
      </c>
      <c r="O84" s="21" t="s">
        <v>117</v>
      </c>
      <c r="P84" s="19" t="str">
        <f t="shared" si="14"/>
        <v>CV059|JD3</v>
      </c>
    </row>
    <row r="85" spans="1:16" ht="73.5" customHeight="1" x14ac:dyDescent="0.25">
      <c r="A85" s="19" t="s">
        <v>304</v>
      </c>
      <c r="B85" s="19" t="str">
        <f>INDEX(Resumes!$B$2:$B$101,MATCH(A85,Resumes!$A$2:$A$101,0))</f>
        <v>Thomas Joshi</v>
      </c>
      <c r="C85" s="19" t="s">
        <v>97</v>
      </c>
      <c r="D85" s="19" t="str">
        <f>INDEX('Job Descriptions'!$B$2:$B$6,MATCH(C85,'Job Descriptions'!$A$2:$A$6,0))</f>
        <v>Financial Analyst</v>
      </c>
      <c r="E85" s="20">
        <v>8</v>
      </c>
      <c r="F85" s="20">
        <v>12</v>
      </c>
      <c r="G85" s="20">
        <v>16</v>
      </c>
      <c r="H85" s="20">
        <v>0</v>
      </c>
      <c r="I85" s="16">
        <f t="shared" si="10"/>
        <v>36</v>
      </c>
      <c r="J85" s="15" t="str">
        <f t="shared" si="11"/>
        <v>Not shortlisted</v>
      </c>
      <c r="K85" s="15">
        <f t="shared" si="12"/>
        <v>79</v>
      </c>
      <c r="L85" s="19" t="str">
        <f t="shared" si="13"/>
        <v/>
      </c>
      <c r="M85" s="21" t="s">
        <v>115</v>
      </c>
      <c r="N85" s="21" t="s">
        <v>305</v>
      </c>
      <c r="O85" s="21" t="s">
        <v>306</v>
      </c>
      <c r="P85" s="19" t="str">
        <f t="shared" si="14"/>
        <v>CV071|JD3</v>
      </c>
    </row>
    <row r="86" spans="1:16" ht="73.5" customHeight="1" x14ac:dyDescent="0.25">
      <c r="A86" s="19" t="s">
        <v>307</v>
      </c>
      <c r="B86" s="19" t="str">
        <f>INDEX(Resumes!$B$2:$B$101,MATCH(A86,Resumes!$A$2:$A$101,0))</f>
        <v>Sakshi Pawar</v>
      </c>
      <c r="C86" s="19" t="s">
        <v>97</v>
      </c>
      <c r="D86" s="19" t="str">
        <f>INDEX('Job Descriptions'!$B$2:$B$6,MATCH(C86,'Job Descriptions'!$A$2:$A$6,0))</f>
        <v>Financial Analyst</v>
      </c>
      <c r="E86" s="20">
        <v>12</v>
      </c>
      <c r="F86" s="20">
        <v>15</v>
      </c>
      <c r="G86" s="20">
        <v>8</v>
      </c>
      <c r="H86" s="20">
        <v>0</v>
      </c>
      <c r="I86" s="16">
        <f t="shared" si="10"/>
        <v>35</v>
      </c>
      <c r="J86" s="15" t="str">
        <f t="shared" si="11"/>
        <v>Not shortlisted</v>
      </c>
      <c r="K86" s="15">
        <f t="shared" si="12"/>
        <v>83</v>
      </c>
      <c r="L86" s="19" t="str">
        <f t="shared" si="13"/>
        <v/>
      </c>
      <c r="M86" s="21" t="s">
        <v>115</v>
      </c>
      <c r="N86" s="21" t="s">
        <v>308</v>
      </c>
      <c r="O86" s="21" t="s">
        <v>309</v>
      </c>
      <c r="P86" s="19" t="str">
        <f t="shared" si="14"/>
        <v>CV066|JD3</v>
      </c>
    </row>
    <row r="87" spans="1:16" ht="73.5" customHeight="1" x14ac:dyDescent="0.25">
      <c r="A87" s="19" t="s">
        <v>310</v>
      </c>
      <c r="B87" s="19" t="str">
        <f>INDEX(Resumes!$B$2:$B$101,MATCH(A87,Resumes!$A$2:$A$101,0))</f>
        <v>Harpreet Jadhav</v>
      </c>
      <c r="C87" s="19" t="s">
        <v>97</v>
      </c>
      <c r="D87" s="19" t="str">
        <f>INDEX('Job Descriptions'!$B$2:$B$6,MATCH(C87,'Job Descriptions'!$A$2:$A$6,0))</f>
        <v>Financial Analyst</v>
      </c>
      <c r="E87" s="20">
        <v>8</v>
      </c>
      <c r="F87" s="20">
        <v>12</v>
      </c>
      <c r="G87" s="20">
        <v>4</v>
      </c>
      <c r="H87" s="20">
        <v>10</v>
      </c>
      <c r="I87" s="16">
        <f t="shared" si="10"/>
        <v>34</v>
      </c>
      <c r="J87" s="15" t="str">
        <f t="shared" si="11"/>
        <v>Not shortlisted</v>
      </c>
      <c r="K87" s="15">
        <f t="shared" si="12"/>
        <v>84</v>
      </c>
      <c r="L87" s="19" t="str">
        <f t="shared" si="13"/>
        <v/>
      </c>
      <c r="M87" s="21" t="s">
        <v>102</v>
      </c>
      <c r="N87" s="21" t="s">
        <v>311</v>
      </c>
      <c r="O87" s="21" t="s">
        <v>174</v>
      </c>
      <c r="P87" s="19" t="str">
        <f t="shared" si="14"/>
        <v>CV018|JD3</v>
      </c>
    </row>
    <row r="88" spans="1:16" ht="73.5" customHeight="1" x14ac:dyDescent="0.25">
      <c r="A88" s="19" t="s">
        <v>312</v>
      </c>
      <c r="B88" s="19" t="str">
        <f>INDEX(Resumes!$B$2:$B$101,MATCH(A88,Resumes!$A$2:$A$101,0))</f>
        <v>Tushar Deshmukh</v>
      </c>
      <c r="C88" s="19" t="s">
        <v>97</v>
      </c>
      <c r="D88" s="19" t="str">
        <f>INDEX('Job Descriptions'!$B$2:$B$6,MATCH(C88,'Job Descriptions'!$A$2:$A$6,0))</f>
        <v>Financial Analyst</v>
      </c>
      <c r="E88" s="20">
        <v>12</v>
      </c>
      <c r="F88" s="20">
        <v>8</v>
      </c>
      <c r="G88" s="20">
        <v>4</v>
      </c>
      <c r="H88" s="20">
        <v>10</v>
      </c>
      <c r="I88" s="16">
        <f t="shared" si="10"/>
        <v>34</v>
      </c>
      <c r="J88" s="15" t="str">
        <f t="shared" si="11"/>
        <v>Not shortlisted</v>
      </c>
      <c r="K88" s="15">
        <f t="shared" si="12"/>
        <v>84</v>
      </c>
      <c r="L88" s="19" t="str">
        <f t="shared" si="13"/>
        <v/>
      </c>
      <c r="M88" s="21" t="s">
        <v>102</v>
      </c>
      <c r="N88" s="21" t="s">
        <v>313</v>
      </c>
      <c r="O88" s="21" t="s">
        <v>314</v>
      </c>
      <c r="P88" s="19" t="str">
        <f t="shared" si="14"/>
        <v>CV031|JD3</v>
      </c>
    </row>
    <row r="89" spans="1:16" ht="73.5" customHeight="1" x14ac:dyDescent="0.25">
      <c r="A89" s="19" t="s">
        <v>315</v>
      </c>
      <c r="B89" s="19" t="str">
        <f>INDEX(Resumes!$B$2:$B$101,MATCH(A89,Resumes!$A$2:$A$101,0))</f>
        <v>Riya Menon</v>
      </c>
      <c r="C89" s="19" t="s">
        <v>97</v>
      </c>
      <c r="D89" s="19" t="str">
        <f>INDEX('Job Descriptions'!$B$2:$B$6,MATCH(C89,'Job Descriptions'!$A$2:$A$6,0))</f>
        <v>Financial Analyst</v>
      </c>
      <c r="E89" s="20">
        <v>6</v>
      </c>
      <c r="F89" s="20">
        <v>12</v>
      </c>
      <c r="G89" s="20">
        <v>4</v>
      </c>
      <c r="H89" s="20">
        <v>10</v>
      </c>
      <c r="I89" s="16">
        <f t="shared" si="10"/>
        <v>32</v>
      </c>
      <c r="J89" s="15" t="str">
        <f t="shared" si="11"/>
        <v>Not shortlisted</v>
      </c>
      <c r="K89" s="15">
        <f t="shared" si="12"/>
        <v>86</v>
      </c>
      <c r="L89" s="19" t="str">
        <f t="shared" si="13"/>
        <v/>
      </c>
      <c r="M89" s="21" t="s">
        <v>221</v>
      </c>
      <c r="N89" s="21" t="s">
        <v>316</v>
      </c>
      <c r="O89" s="21" t="s">
        <v>317</v>
      </c>
      <c r="P89" s="19" t="str">
        <f t="shared" si="14"/>
        <v>CV017|JD3</v>
      </c>
    </row>
    <row r="90" spans="1:16" ht="73.5" customHeight="1" x14ac:dyDescent="0.25">
      <c r="A90" s="19" t="s">
        <v>318</v>
      </c>
      <c r="B90" s="19" t="str">
        <f>INDEX(Resumes!$B$2:$B$101,MATCH(A90,Resumes!$A$2:$A$101,0))</f>
        <v>Kavya Nair</v>
      </c>
      <c r="C90" s="19" t="s">
        <v>97</v>
      </c>
      <c r="D90" s="19" t="str">
        <f>INDEX('Job Descriptions'!$B$2:$B$6,MATCH(C90,'Job Descriptions'!$A$2:$A$6,0))</f>
        <v>Financial Analyst</v>
      </c>
      <c r="E90" s="20">
        <v>12</v>
      </c>
      <c r="F90" s="20">
        <v>20</v>
      </c>
      <c r="G90" s="20">
        <v>0</v>
      </c>
      <c r="H90" s="20">
        <v>0</v>
      </c>
      <c r="I90" s="16">
        <f t="shared" si="10"/>
        <v>32</v>
      </c>
      <c r="J90" s="15" t="str">
        <f t="shared" si="11"/>
        <v>Not shortlisted</v>
      </c>
      <c r="K90" s="15">
        <f t="shared" si="12"/>
        <v>86</v>
      </c>
      <c r="L90" s="19" t="str">
        <f t="shared" si="13"/>
        <v/>
      </c>
      <c r="M90" s="21" t="s">
        <v>115</v>
      </c>
      <c r="N90" s="21" t="s">
        <v>319</v>
      </c>
      <c r="O90" s="21" t="s">
        <v>231</v>
      </c>
      <c r="P90" s="19" t="str">
        <f t="shared" si="14"/>
        <v>CV064|JD3</v>
      </c>
    </row>
    <row r="91" spans="1:16" ht="73.5" customHeight="1" x14ac:dyDescent="0.25">
      <c r="A91" s="19" t="s">
        <v>320</v>
      </c>
      <c r="B91" s="19" t="str">
        <f>INDEX(Resumes!$B$2:$B$101,MATCH(A91,Resumes!$A$2:$A$101,0))</f>
        <v>Ritu Desai</v>
      </c>
      <c r="C91" s="19" t="s">
        <v>97</v>
      </c>
      <c r="D91" s="19" t="str">
        <f>INDEX('Job Descriptions'!$B$2:$B$6,MATCH(C91,'Job Descriptions'!$A$2:$A$6,0))</f>
        <v>Financial Analyst</v>
      </c>
      <c r="E91" s="20">
        <v>12</v>
      </c>
      <c r="F91" s="20">
        <v>15</v>
      </c>
      <c r="G91" s="20">
        <v>4</v>
      </c>
      <c r="H91" s="20">
        <v>0</v>
      </c>
      <c r="I91" s="16">
        <f t="shared" si="10"/>
        <v>31</v>
      </c>
      <c r="J91" s="15" t="str">
        <f t="shared" si="11"/>
        <v>Not shortlisted</v>
      </c>
      <c r="K91" s="15">
        <f t="shared" si="12"/>
        <v>88</v>
      </c>
      <c r="L91" s="19" t="str">
        <f t="shared" si="13"/>
        <v/>
      </c>
      <c r="M91" s="21" t="s">
        <v>98</v>
      </c>
      <c r="N91" s="21" t="s">
        <v>321</v>
      </c>
      <c r="O91" s="21" t="s">
        <v>314</v>
      </c>
      <c r="P91" s="19" t="str">
        <f t="shared" si="14"/>
        <v>CV068|JD3</v>
      </c>
    </row>
    <row r="92" spans="1:16" ht="73.5" customHeight="1" x14ac:dyDescent="0.25">
      <c r="A92" s="19" t="s">
        <v>322</v>
      </c>
      <c r="B92" s="19" t="str">
        <f>INDEX(Resumes!$B$2:$B$101,MATCH(A92,Resumes!$A$2:$A$101,0))</f>
        <v>Swati Das</v>
      </c>
      <c r="C92" s="19" t="s">
        <v>97</v>
      </c>
      <c r="D92" s="19" t="str">
        <f>INDEX('Job Descriptions'!$B$2:$B$6,MATCH(C92,'Job Descriptions'!$A$2:$A$6,0))</f>
        <v>Financial Analyst</v>
      </c>
      <c r="E92" s="20">
        <v>8</v>
      </c>
      <c r="F92" s="20">
        <v>12</v>
      </c>
      <c r="G92" s="20">
        <v>4</v>
      </c>
      <c r="H92" s="20">
        <v>4</v>
      </c>
      <c r="I92" s="16">
        <f t="shared" si="10"/>
        <v>28</v>
      </c>
      <c r="J92" s="15" t="str">
        <f t="shared" si="11"/>
        <v>Not shortlisted</v>
      </c>
      <c r="K92" s="15">
        <f t="shared" si="12"/>
        <v>89</v>
      </c>
      <c r="L92" s="19" t="str">
        <f t="shared" si="13"/>
        <v/>
      </c>
      <c r="M92" s="21" t="s">
        <v>98</v>
      </c>
      <c r="N92" s="21" t="s">
        <v>323</v>
      </c>
      <c r="O92" s="21" t="s">
        <v>174</v>
      </c>
      <c r="P92" s="19" t="str">
        <f t="shared" si="14"/>
        <v>CV002|JD3</v>
      </c>
    </row>
    <row r="93" spans="1:16" ht="73.5" customHeight="1" x14ac:dyDescent="0.25">
      <c r="A93" s="19" t="s">
        <v>324</v>
      </c>
      <c r="B93" s="19" t="str">
        <f>INDEX(Resumes!$B$2:$B$101,MATCH(A93,Resumes!$A$2:$A$101,0))</f>
        <v>Vikram Chatterjee</v>
      </c>
      <c r="C93" s="19" t="s">
        <v>97</v>
      </c>
      <c r="D93" s="19" t="str">
        <f>INDEX('Job Descriptions'!$B$2:$B$6,MATCH(C93,'Job Descriptions'!$A$2:$A$6,0))</f>
        <v>Financial Analyst</v>
      </c>
      <c r="E93" s="20">
        <v>12</v>
      </c>
      <c r="F93" s="20">
        <v>12</v>
      </c>
      <c r="G93" s="20">
        <v>4</v>
      </c>
      <c r="H93" s="20">
        <v>0</v>
      </c>
      <c r="I93" s="16">
        <f t="shared" si="10"/>
        <v>28</v>
      </c>
      <c r="J93" s="15" t="str">
        <f t="shared" si="11"/>
        <v>Not shortlisted</v>
      </c>
      <c r="K93" s="15">
        <f t="shared" si="12"/>
        <v>89</v>
      </c>
      <c r="L93" s="19" t="str">
        <f t="shared" si="13"/>
        <v/>
      </c>
      <c r="M93" s="21" t="s">
        <v>98</v>
      </c>
      <c r="N93" s="21" t="s">
        <v>325</v>
      </c>
      <c r="O93" s="21" t="s">
        <v>174</v>
      </c>
      <c r="P93" s="19" t="str">
        <f t="shared" si="14"/>
        <v>CV026|JD3</v>
      </c>
    </row>
    <row r="94" spans="1:16" ht="73.5" customHeight="1" x14ac:dyDescent="0.25">
      <c r="A94" s="19" t="s">
        <v>326</v>
      </c>
      <c r="B94" s="19" t="str">
        <f>INDEX(Resumes!$B$2:$B$101,MATCH(A94,Resumes!$A$2:$A$101,0))</f>
        <v>Riya Gupta</v>
      </c>
      <c r="C94" s="19" t="s">
        <v>97</v>
      </c>
      <c r="D94" s="19" t="str">
        <f>INDEX('Job Descriptions'!$B$2:$B$6,MATCH(C94,'Job Descriptions'!$A$2:$A$6,0))</f>
        <v>Financial Analyst</v>
      </c>
      <c r="E94" s="20">
        <v>6</v>
      </c>
      <c r="F94" s="20">
        <v>15</v>
      </c>
      <c r="G94" s="20">
        <v>4</v>
      </c>
      <c r="H94" s="20">
        <v>3</v>
      </c>
      <c r="I94" s="16">
        <f t="shared" si="10"/>
        <v>28</v>
      </c>
      <c r="J94" s="15" t="str">
        <f t="shared" si="11"/>
        <v>Not shortlisted</v>
      </c>
      <c r="K94" s="15">
        <f t="shared" si="12"/>
        <v>89</v>
      </c>
      <c r="L94" s="19" t="str">
        <f t="shared" si="13"/>
        <v/>
      </c>
      <c r="M94" s="21" t="s">
        <v>98</v>
      </c>
      <c r="N94" s="21" t="s">
        <v>327</v>
      </c>
      <c r="O94" s="21" t="s">
        <v>314</v>
      </c>
      <c r="P94" s="19" t="str">
        <f t="shared" si="14"/>
        <v>CV048|JD3</v>
      </c>
    </row>
    <row r="95" spans="1:16" ht="73.5" customHeight="1" x14ac:dyDescent="0.25">
      <c r="A95" s="19" t="s">
        <v>328</v>
      </c>
      <c r="B95" s="19" t="str">
        <f>INDEX(Resumes!$B$2:$B$101,MATCH(A95,Resumes!$A$2:$A$101,0))</f>
        <v>Imran D'Souza</v>
      </c>
      <c r="C95" s="19" t="s">
        <v>97</v>
      </c>
      <c r="D95" s="19" t="str">
        <f>INDEX('Job Descriptions'!$B$2:$B$6,MATCH(C95,'Job Descriptions'!$A$2:$A$6,0))</f>
        <v>Financial Analyst</v>
      </c>
      <c r="E95" s="20">
        <v>12</v>
      </c>
      <c r="F95" s="20">
        <v>12</v>
      </c>
      <c r="G95" s="20">
        <v>0</v>
      </c>
      <c r="H95" s="20">
        <v>4</v>
      </c>
      <c r="I95" s="16">
        <f t="shared" si="10"/>
        <v>28</v>
      </c>
      <c r="J95" s="15" t="str">
        <f t="shared" si="11"/>
        <v>Not shortlisted</v>
      </c>
      <c r="K95" s="15">
        <f t="shared" si="12"/>
        <v>89</v>
      </c>
      <c r="L95" s="19" t="str">
        <f t="shared" si="13"/>
        <v/>
      </c>
      <c r="M95" s="21" t="s">
        <v>115</v>
      </c>
      <c r="N95" s="21" t="s">
        <v>329</v>
      </c>
      <c r="O95" s="21" t="s">
        <v>231</v>
      </c>
      <c r="P95" s="19" t="str">
        <f t="shared" si="14"/>
        <v>CV076|JD3</v>
      </c>
    </row>
    <row r="96" spans="1:16" ht="73.5" customHeight="1" x14ac:dyDescent="0.25">
      <c r="A96" s="19" t="s">
        <v>330</v>
      </c>
      <c r="B96" s="19" t="str">
        <f>INDEX(Resumes!$B$2:$B$101,MATCH(A96,Resumes!$A$2:$A$101,0))</f>
        <v>Gurpreet Kulkarni</v>
      </c>
      <c r="C96" s="19" t="s">
        <v>97</v>
      </c>
      <c r="D96" s="19" t="str">
        <f>INDEX('Job Descriptions'!$B$2:$B$6,MATCH(C96,'Job Descriptions'!$A$2:$A$6,0))</f>
        <v>Financial Analyst</v>
      </c>
      <c r="E96" s="20">
        <v>12</v>
      </c>
      <c r="F96" s="20">
        <v>12</v>
      </c>
      <c r="G96" s="20">
        <v>0</v>
      </c>
      <c r="H96" s="20">
        <v>3</v>
      </c>
      <c r="I96" s="16">
        <f t="shared" si="10"/>
        <v>27</v>
      </c>
      <c r="J96" s="15" t="str">
        <f t="shared" si="11"/>
        <v>Not shortlisted</v>
      </c>
      <c r="K96" s="15">
        <f t="shared" si="12"/>
        <v>93</v>
      </c>
      <c r="L96" s="19" t="str">
        <f t="shared" si="13"/>
        <v/>
      </c>
      <c r="M96" s="21" t="s">
        <v>115</v>
      </c>
      <c r="N96" s="21" t="s">
        <v>331</v>
      </c>
      <c r="O96" s="21" t="s">
        <v>231</v>
      </c>
      <c r="P96" s="19" t="str">
        <f t="shared" si="14"/>
        <v>CV001|JD3</v>
      </c>
    </row>
    <row r="97" spans="1:16" ht="73.5" customHeight="1" x14ac:dyDescent="0.25">
      <c r="A97" s="19" t="s">
        <v>332</v>
      </c>
      <c r="B97" s="19" t="str">
        <f>INDEX(Resumes!$B$2:$B$101,MATCH(A97,Resumes!$A$2:$A$101,0))</f>
        <v>Diya D'Souza</v>
      </c>
      <c r="C97" s="19" t="s">
        <v>97</v>
      </c>
      <c r="D97" s="19" t="str">
        <f>INDEX('Job Descriptions'!$B$2:$B$6,MATCH(C97,'Job Descriptions'!$A$2:$A$6,0))</f>
        <v>Financial Analyst</v>
      </c>
      <c r="E97" s="20">
        <v>12</v>
      </c>
      <c r="F97" s="20">
        <v>15</v>
      </c>
      <c r="G97" s="20">
        <v>0</v>
      </c>
      <c r="H97" s="20">
        <v>0</v>
      </c>
      <c r="I97" s="16">
        <f t="shared" si="10"/>
        <v>27</v>
      </c>
      <c r="J97" s="15" t="str">
        <f t="shared" si="11"/>
        <v>Not shortlisted</v>
      </c>
      <c r="K97" s="15">
        <f t="shared" si="12"/>
        <v>93</v>
      </c>
      <c r="L97" s="19" t="str">
        <f t="shared" si="13"/>
        <v/>
      </c>
      <c r="M97" s="21" t="s">
        <v>115</v>
      </c>
      <c r="N97" s="21" t="s">
        <v>333</v>
      </c>
      <c r="O97" s="21" t="s">
        <v>283</v>
      </c>
      <c r="P97" s="19" t="str">
        <f t="shared" si="14"/>
        <v>CV082|JD3</v>
      </c>
    </row>
    <row r="98" spans="1:16" ht="73.5" customHeight="1" x14ac:dyDescent="0.25">
      <c r="A98" s="19" t="s">
        <v>334</v>
      </c>
      <c r="B98" s="19" t="str">
        <f>INDEX(Resumes!$B$2:$B$101,MATCH(A98,Resumes!$A$2:$A$101,0))</f>
        <v>Joseph Gupta</v>
      </c>
      <c r="C98" s="19" t="s">
        <v>97</v>
      </c>
      <c r="D98" s="19" t="str">
        <f>INDEX('Job Descriptions'!$B$2:$B$6,MATCH(C98,'Job Descriptions'!$A$2:$A$6,0))</f>
        <v>Financial Analyst</v>
      </c>
      <c r="E98" s="20">
        <v>6</v>
      </c>
      <c r="F98" s="20">
        <v>12</v>
      </c>
      <c r="G98" s="20">
        <v>4</v>
      </c>
      <c r="H98" s="20">
        <v>4</v>
      </c>
      <c r="I98" s="16">
        <f t="shared" si="10"/>
        <v>26</v>
      </c>
      <c r="J98" s="15" t="str">
        <f t="shared" si="11"/>
        <v>Not shortlisted</v>
      </c>
      <c r="K98" s="15">
        <f t="shared" si="12"/>
        <v>95</v>
      </c>
      <c r="L98" s="19" t="str">
        <f t="shared" si="13"/>
        <v/>
      </c>
      <c r="M98" s="21" t="s">
        <v>98</v>
      </c>
      <c r="N98" s="21" t="s">
        <v>335</v>
      </c>
      <c r="O98" s="21" t="s">
        <v>174</v>
      </c>
      <c r="P98" s="19" t="str">
        <f t="shared" si="14"/>
        <v>CV074|JD3</v>
      </c>
    </row>
    <row r="99" spans="1:16" ht="73.5" customHeight="1" x14ac:dyDescent="0.25">
      <c r="A99" s="19" t="s">
        <v>336</v>
      </c>
      <c r="B99" s="19" t="str">
        <f>INDEX(Resumes!$B$2:$B$101,MATCH(A99,Resumes!$A$2:$A$101,0))</f>
        <v>Deepak Rao</v>
      </c>
      <c r="C99" s="19" t="s">
        <v>97</v>
      </c>
      <c r="D99" s="19" t="str">
        <f>INDEX('Job Descriptions'!$B$2:$B$6,MATCH(C99,'Job Descriptions'!$A$2:$A$6,0))</f>
        <v>Financial Analyst</v>
      </c>
      <c r="E99" s="20">
        <v>6</v>
      </c>
      <c r="F99" s="20">
        <v>8</v>
      </c>
      <c r="G99" s="20">
        <v>8</v>
      </c>
      <c r="H99" s="20">
        <v>4</v>
      </c>
      <c r="I99" s="16">
        <f t="shared" si="10"/>
        <v>26</v>
      </c>
      <c r="J99" s="15" t="str">
        <f t="shared" si="11"/>
        <v>Not shortlisted</v>
      </c>
      <c r="K99" s="15">
        <f t="shared" si="12"/>
        <v>95</v>
      </c>
      <c r="L99" s="19" t="str">
        <f t="shared" si="13"/>
        <v/>
      </c>
      <c r="M99" s="21" t="s">
        <v>115</v>
      </c>
      <c r="N99" s="21" t="s">
        <v>337</v>
      </c>
      <c r="O99" s="21" t="s">
        <v>276</v>
      </c>
      <c r="P99" s="19" t="str">
        <f t="shared" si="14"/>
        <v>CV078|JD3</v>
      </c>
    </row>
    <row r="100" spans="1:16" ht="73.5" customHeight="1" x14ac:dyDescent="0.25">
      <c r="A100" s="19" t="s">
        <v>338</v>
      </c>
      <c r="B100" s="19" t="str">
        <f>INDEX(Resumes!$B$2:$B$101,MATCH(A100,Resumes!$A$2:$A$101,0))</f>
        <v>Divya Agarwal</v>
      </c>
      <c r="C100" s="19" t="s">
        <v>97</v>
      </c>
      <c r="D100" s="19" t="str">
        <f>INDEX('Job Descriptions'!$B$2:$B$6,MATCH(C100,'Job Descriptions'!$A$2:$A$6,0))</f>
        <v>Financial Analyst</v>
      </c>
      <c r="E100" s="20">
        <v>6</v>
      </c>
      <c r="F100" s="20">
        <v>12</v>
      </c>
      <c r="G100" s="20">
        <v>4</v>
      </c>
      <c r="H100" s="20">
        <v>3</v>
      </c>
      <c r="I100" s="16">
        <f t="shared" ref="I100:I131" si="15">SUM(E100:H100)</f>
        <v>25</v>
      </c>
      <c r="J100" s="15" t="str">
        <f t="shared" ref="J100:J131" si="16">IF(AND(I100&gt;=SL_CUT,G100&gt;=SL_SKILL),"Shortlist",IF(AND(I100&gt;=RV_CUT,G100&gt;=RV_SKILL),"Review","Not shortlisted"))</f>
        <v>Not shortlisted</v>
      </c>
      <c r="K100" s="15">
        <f t="shared" ref="K100:K131" si="17">COUNTIFS($C$4:$C$203,C100,$I$4:$I$203,"&gt;"&amp;I100)+1</f>
        <v>97</v>
      </c>
      <c r="L100" s="19" t="str">
        <f t="shared" ref="L100:L131" si="18">IF(OR(AND(I100&gt;=SL_CUT,G100&lt;SL_SKILL),AND(I100&gt;=RV_CUT,G100&lt;RV_SKILL)),"Capped by minimum-skills rule","")</f>
        <v/>
      </c>
      <c r="M100" s="21" t="s">
        <v>98</v>
      </c>
      <c r="N100" s="21" t="s">
        <v>339</v>
      </c>
      <c r="O100" s="21" t="s">
        <v>174</v>
      </c>
      <c r="P100" s="19" t="str">
        <f t="shared" ref="P100:P131" si="19">A100&amp;"|"&amp;C100</f>
        <v>CV037|JD3</v>
      </c>
    </row>
    <row r="101" spans="1:16" ht="73.5" customHeight="1" x14ac:dyDescent="0.25">
      <c r="A101" s="19" t="s">
        <v>340</v>
      </c>
      <c r="B101" s="19" t="str">
        <f>INDEX(Resumes!$B$2:$B$101,MATCH(A101,Resumes!$A$2:$A$101,0))</f>
        <v>Deepak Iyer</v>
      </c>
      <c r="C101" s="19" t="s">
        <v>97</v>
      </c>
      <c r="D101" s="19" t="str">
        <f>INDEX('Job Descriptions'!$B$2:$B$6,MATCH(C101,'Job Descriptions'!$A$2:$A$6,0))</f>
        <v>Financial Analyst</v>
      </c>
      <c r="E101" s="20">
        <v>12</v>
      </c>
      <c r="F101" s="20">
        <v>8</v>
      </c>
      <c r="G101" s="20">
        <v>0</v>
      </c>
      <c r="H101" s="20">
        <v>4</v>
      </c>
      <c r="I101" s="16">
        <f t="shared" si="15"/>
        <v>24</v>
      </c>
      <c r="J101" s="15" t="str">
        <f t="shared" si="16"/>
        <v>Not shortlisted</v>
      </c>
      <c r="K101" s="15">
        <f t="shared" si="17"/>
        <v>98</v>
      </c>
      <c r="L101" s="19" t="str">
        <f t="shared" si="18"/>
        <v/>
      </c>
      <c r="M101" s="21" t="s">
        <v>115</v>
      </c>
      <c r="N101" s="21" t="s">
        <v>341</v>
      </c>
      <c r="O101" s="21" t="s">
        <v>283</v>
      </c>
      <c r="P101" s="19" t="str">
        <f t="shared" si="19"/>
        <v>CV061|JD3</v>
      </c>
    </row>
    <row r="102" spans="1:16" ht="73.5" customHeight="1" x14ac:dyDescent="0.25">
      <c r="A102" s="19" t="s">
        <v>342</v>
      </c>
      <c r="B102" s="19" t="str">
        <f>INDEX(Resumes!$B$2:$B$101,MATCH(A102,Resumes!$A$2:$A$101,0))</f>
        <v>Priya Khan</v>
      </c>
      <c r="C102" s="19" t="s">
        <v>97</v>
      </c>
      <c r="D102" s="19" t="str">
        <f>INDEX('Job Descriptions'!$B$2:$B$6,MATCH(C102,'Job Descriptions'!$A$2:$A$6,0))</f>
        <v>Financial Analyst</v>
      </c>
      <c r="E102" s="20">
        <v>12</v>
      </c>
      <c r="F102" s="20">
        <v>12</v>
      </c>
      <c r="G102" s="20">
        <v>0</v>
      </c>
      <c r="H102" s="20">
        <v>0</v>
      </c>
      <c r="I102" s="16">
        <f t="shared" si="15"/>
        <v>24</v>
      </c>
      <c r="J102" s="15" t="str">
        <f t="shared" si="16"/>
        <v>Not shortlisted</v>
      </c>
      <c r="K102" s="15">
        <f t="shared" si="17"/>
        <v>98</v>
      </c>
      <c r="L102" s="19" t="str">
        <f t="shared" si="18"/>
        <v/>
      </c>
      <c r="M102" s="21" t="s">
        <v>115</v>
      </c>
      <c r="N102" s="21" t="s">
        <v>343</v>
      </c>
      <c r="O102" s="21" t="s">
        <v>231</v>
      </c>
      <c r="P102" s="19" t="str">
        <f t="shared" si="19"/>
        <v>CV067|JD3</v>
      </c>
    </row>
    <row r="103" spans="1:16" ht="73.5" customHeight="1" x14ac:dyDescent="0.25">
      <c r="A103" s="19" t="s">
        <v>344</v>
      </c>
      <c r="B103" s="19" t="str">
        <f>INDEX(Resumes!$B$2:$B$101,MATCH(A103,Resumes!$A$2:$A$101,0))</f>
        <v>Siddharth Kulkarni</v>
      </c>
      <c r="C103" s="19" t="s">
        <v>97</v>
      </c>
      <c r="D103" s="19" t="str">
        <f>INDEX('Job Descriptions'!$B$2:$B$6,MATCH(C103,'Job Descriptions'!$A$2:$A$6,0))</f>
        <v>Financial Analyst</v>
      </c>
      <c r="E103" s="20">
        <v>8</v>
      </c>
      <c r="F103" s="20">
        <v>15</v>
      </c>
      <c r="G103" s="20">
        <v>0</v>
      </c>
      <c r="H103" s="20">
        <v>0</v>
      </c>
      <c r="I103" s="16">
        <f t="shared" si="15"/>
        <v>23</v>
      </c>
      <c r="J103" s="15" t="str">
        <f t="shared" si="16"/>
        <v>Not shortlisted</v>
      </c>
      <c r="K103" s="15">
        <f t="shared" si="17"/>
        <v>100</v>
      </c>
      <c r="L103" s="19" t="str">
        <f t="shared" si="18"/>
        <v/>
      </c>
      <c r="M103" s="21" t="s">
        <v>115</v>
      </c>
      <c r="N103" s="21" t="s">
        <v>345</v>
      </c>
      <c r="O103" s="21" t="s">
        <v>283</v>
      </c>
      <c r="P103" s="19" t="str">
        <f t="shared" si="19"/>
        <v>CV100|JD3</v>
      </c>
    </row>
    <row r="104" spans="1:16" ht="73.5" customHeight="1" x14ac:dyDescent="0.25">
      <c r="A104" s="19" t="s">
        <v>284</v>
      </c>
      <c r="B104" s="19" t="str">
        <f>INDEX(Resumes!$B$2:$B$101,MATCH(A104,Resumes!$A$2:$A$101,0))</f>
        <v>Simran Reddy</v>
      </c>
      <c r="C104" s="19" t="s">
        <v>346</v>
      </c>
      <c r="D104" s="19" t="str">
        <f>INDEX('Job Descriptions'!$B$2:$B$6,MATCH(C104,'Job Descriptions'!$A$2:$A$6,0))</f>
        <v>Product Manager - Fintech</v>
      </c>
      <c r="E104" s="20">
        <v>25</v>
      </c>
      <c r="F104" s="20">
        <v>25</v>
      </c>
      <c r="G104" s="20">
        <v>28</v>
      </c>
      <c r="H104" s="20">
        <v>4</v>
      </c>
      <c r="I104" s="16">
        <f t="shared" si="15"/>
        <v>82</v>
      </c>
      <c r="J104" s="15" t="str">
        <f t="shared" si="16"/>
        <v>Shortlist</v>
      </c>
      <c r="K104" s="15">
        <f t="shared" si="17"/>
        <v>1</v>
      </c>
      <c r="L104" s="19" t="str">
        <f t="shared" si="18"/>
        <v/>
      </c>
      <c r="M104" s="21" t="s">
        <v>347</v>
      </c>
      <c r="N104" s="21" t="s">
        <v>348</v>
      </c>
      <c r="O104" s="21" t="s">
        <v>349</v>
      </c>
      <c r="P104" s="19" t="str">
        <f t="shared" si="19"/>
        <v>CV086|JD5</v>
      </c>
    </row>
    <row r="105" spans="1:16" ht="73.5" customHeight="1" x14ac:dyDescent="0.25">
      <c r="A105" s="19" t="s">
        <v>185</v>
      </c>
      <c r="B105" s="19" t="str">
        <f>INDEX(Resumes!$B$2:$B$101,MATCH(A105,Resumes!$A$2:$A$101,0))</f>
        <v>Kabir Das</v>
      </c>
      <c r="C105" s="19" t="s">
        <v>346</v>
      </c>
      <c r="D105" s="19" t="str">
        <f>INDEX('Job Descriptions'!$B$2:$B$6,MATCH(C105,'Job Descriptions'!$A$2:$A$6,0))</f>
        <v>Product Manager - Fintech</v>
      </c>
      <c r="E105" s="20">
        <v>25</v>
      </c>
      <c r="F105" s="20">
        <v>20</v>
      </c>
      <c r="G105" s="20">
        <v>24</v>
      </c>
      <c r="H105" s="20">
        <v>7</v>
      </c>
      <c r="I105" s="16">
        <f t="shared" si="15"/>
        <v>76</v>
      </c>
      <c r="J105" s="15" t="str">
        <f t="shared" si="16"/>
        <v>Shortlist</v>
      </c>
      <c r="K105" s="15">
        <f t="shared" si="17"/>
        <v>2</v>
      </c>
      <c r="L105" s="19" t="str">
        <f t="shared" si="18"/>
        <v/>
      </c>
      <c r="M105" s="21" t="s">
        <v>115</v>
      </c>
      <c r="N105" s="21" t="s">
        <v>350</v>
      </c>
      <c r="O105" s="21" t="s">
        <v>351</v>
      </c>
      <c r="P105" s="19" t="str">
        <f t="shared" si="19"/>
        <v>CV080|JD5</v>
      </c>
    </row>
    <row r="106" spans="1:16" ht="73.5" customHeight="1" x14ac:dyDescent="0.25">
      <c r="A106" s="19" t="s">
        <v>218</v>
      </c>
      <c r="B106" s="19" t="str">
        <f>INDEX(Resumes!$B$2:$B$101,MATCH(A106,Resumes!$A$2:$A$101,0))</f>
        <v>Gurpreet Iyer</v>
      </c>
      <c r="C106" s="19" t="s">
        <v>346</v>
      </c>
      <c r="D106" s="19" t="str">
        <f>INDEX('Job Descriptions'!$B$2:$B$6,MATCH(C106,'Job Descriptions'!$A$2:$A$6,0))</f>
        <v>Product Manager - Fintech</v>
      </c>
      <c r="E106" s="20">
        <v>25</v>
      </c>
      <c r="F106" s="20">
        <v>25</v>
      </c>
      <c r="G106" s="20">
        <v>16</v>
      </c>
      <c r="H106" s="20">
        <v>7</v>
      </c>
      <c r="I106" s="16">
        <f t="shared" si="15"/>
        <v>73</v>
      </c>
      <c r="J106" s="15" t="str">
        <f t="shared" si="16"/>
        <v>Shortlist</v>
      </c>
      <c r="K106" s="15">
        <f t="shared" si="17"/>
        <v>3</v>
      </c>
      <c r="L106" s="19" t="str">
        <f t="shared" si="18"/>
        <v/>
      </c>
      <c r="M106" s="21" t="s">
        <v>115</v>
      </c>
      <c r="N106" s="21" t="s">
        <v>352</v>
      </c>
      <c r="O106" s="21" t="s">
        <v>353</v>
      </c>
      <c r="P106" s="19" t="str">
        <f t="shared" si="19"/>
        <v>CV056|JD5</v>
      </c>
    </row>
    <row r="107" spans="1:16" ht="73.5" customHeight="1" x14ac:dyDescent="0.25">
      <c r="A107" s="19" t="s">
        <v>118</v>
      </c>
      <c r="B107" s="19" t="str">
        <f>INDEX(Resumes!$B$2:$B$101,MATCH(A107,Resumes!$A$2:$A$101,0))</f>
        <v>Sneha Verma</v>
      </c>
      <c r="C107" s="19" t="s">
        <v>346</v>
      </c>
      <c r="D107" s="19" t="str">
        <f>INDEX('Job Descriptions'!$B$2:$B$6,MATCH(C107,'Job Descriptions'!$A$2:$A$6,0))</f>
        <v>Product Manager - Fintech</v>
      </c>
      <c r="E107" s="20">
        <v>25</v>
      </c>
      <c r="F107" s="20">
        <v>25</v>
      </c>
      <c r="G107" s="20">
        <v>16</v>
      </c>
      <c r="H107" s="20">
        <v>6</v>
      </c>
      <c r="I107" s="16">
        <f t="shared" si="15"/>
        <v>72</v>
      </c>
      <c r="J107" s="15" t="str">
        <f t="shared" si="16"/>
        <v>Shortlist</v>
      </c>
      <c r="K107" s="15">
        <f t="shared" si="17"/>
        <v>4</v>
      </c>
      <c r="L107" s="19" t="str">
        <f t="shared" si="18"/>
        <v/>
      </c>
      <c r="M107" s="21" t="s">
        <v>115</v>
      </c>
      <c r="N107" s="21" t="s">
        <v>354</v>
      </c>
      <c r="O107" s="21" t="s">
        <v>355</v>
      </c>
      <c r="P107" s="19" t="str">
        <f t="shared" si="19"/>
        <v>CV052|JD5</v>
      </c>
    </row>
    <row r="108" spans="1:16" ht="73.5" customHeight="1" x14ac:dyDescent="0.25">
      <c r="A108" s="19" t="s">
        <v>114</v>
      </c>
      <c r="B108" s="19" t="str">
        <f>INDEX(Resumes!$B$2:$B$101,MATCH(A108,Resumes!$A$2:$A$101,0))</f>
        <v>Deepak Desai</v>
      </c>
      <c r="C108" s="19" t="s">
        <v>346</v>
      </c>
      <c r="D108" s="19" t="str">
        <f>INDEX('Job Descriptions'!$B$2:$B$6,MATCH(C108,'Job Descriptions'!$A$2:$A$6,0))</f>
        <v>Product Manager - Fintech</v>
      </c>
      <c r="E108" s="20">
        <v>15</v>
      </c>
      <c r="F108" s="20">
        <v>25</v>
      </c>
      <c r="G108" s="20">
        <v>20</v>
      </c>
      <c r="H108" s="20">
        <v>7</v>
      </c>
      <c r="I108" s="16">
        <f t="shared" si="15"/>
        <v>67</v>
      </c>
      <c r="J108" s="15" t="str">
        <f t="shared" si="16"/>
        <v>Shortlist</v>
      </c>
      <c r="K108" s="15">
        <f t="shared" si="17"/>
        <v>5</v>
      </c>
      <c r="L108" s="19" t="str">
        <f t="shared" si="18"/>
        <v/>
      </c>
      <c r="M108" s="21" t="s">
        <v>356</v>
      </c>
      <c r="N108" s="21" t="s">
        <v>357</v>
      </c>
      <c r="O108" s="21" t="s">
        <v>358</v>
      </c>
      <c r="P108" s="19" t="str">
        <f t="shared" si="19"/>
        <v>CV040|JD5</v>
      </c>
    </row>
    <row r="109" spans="1:16" ht="73.5" customHeight="1" x14ac:dyDescent="0.25">
      <c r="A109" s="19" t="s">
        <v>101</v>
      </c>
      <c r="B109" s="19" t="str">
        <f>INDEX(Resumes!$B$2:$B$101,MATCH(A109,Resumes!$A$2:$A$101,0))</f>
        <v>Rahul Pawar</v>
      </c>
      <c r="C109" s="19" t="s">
        <v>346</v>
      </c>
      <c r="D109" s="19" t="str">
        <f>INDEX('Job Descriptions'!$B$2:$B$6,MATCH(C109,'Job Descriptions'!$A$2:$A$6,0))</f>
        <v>Product Manager - Fintech</v>
      </c>
      <c r="E109" s="20">
        <v>15</v>
      </c>
      <c r="F109" s="20">
        <v>25</v>
      </c>
      <c r="G109" s="20">
        <v>16</v>
      </c>
      <c r="H109" s="20">
        <v>7</v>
      </c>
      <c r="I109" s="16">
        <f t="shared" si="15"/>
        <v>63</v>
      </c>
      <c r="J109" s="15" t="str">
        <f t="shared" si="16"/>
        <v>Shortlist</v>
      </c>
      <c r="K109" s="15">
        <f t="shared" si="17"/>
        <v>6</v>
      </c>
      <c r="L109" s="19" t="str">
        <f t="shared" si="18"/>
        <v/>
      </c>
      <c r="M109" s="21" t="s">
        <v>115</v>
      </c>
      <c r="N109" s="21" t="s">
        <v>359</v>
      </c>
      <c r="O109" s="21" t="s">
        <v>360</v>
      </c>
      <c r="P109" s="19" t="str">
        <f t="shared" si="19"/>
        <v>CV019|JD5</v>
      </c>
    </row>
    <row r="110" spans="1:16" ht="73.5" customHeight="1" x14ac:dyDescent="0.25">
      <c r="A110" s="19" t="s">
        <v>134</v>
      </c>
      <c r="B110" s="19" t="str">
        <f>INDEX(Resumes!$B$2:$B$101,MATCH(A110,Resumes!$A$2:$A$101,0))</f>
        <v>Vivaan Das</v>
      </c>
      <c r="C110" s="19" t="s">
        <v>346</v>
      </c>
      <c r="D110" s="19" t="str">
        <f>INDEX('Job Descriptions'!$B$2:$B$6,MATCH(C110,'Job Descriptions'!$A$2:$A$6,0))</f>
        <v>Product Manager - Fintech</v>
      </c>
      <c r="E110" s="20">
        <v>15</v>
      </c>
      <c r="F110" s="20">
        <v>25</v>
      </c>
      <c r="G110" s="20">
        <v>16</v>
      </c>
      <c r="H110" s="20">
        <v>4</v>
      </c>
      <c r="I110" s="16">
        <f t="shared" si="15"/>
        <v>60</v>
      </c>
      <c r="J110" s="15" t="str">
        <f t="shared" si="16"/>
        <v>Shortlist</v>
      </c>
      <c r="K110" s="15">
        <f t="shared" si="17"/>
        <v>7</v>
      </c>
      <c r="L110" s="19" t="str">
        <f t="shared" si="18"/>
        <v/>
      </c>
      <c r="M110" s="21" t="s">
        <v>115</v>
      </c>
      <c r="N110" s="21" t="s">
        <v>361</v>
      </c>
      <c r="O110" s="21" t="s">
        <v>360</v>
      </c>
      <c r="P110" s="19" t="str">
        <f t="shared" si="19"/>
        <v>CV009|JD5</v>
      </c>
    </row>
    <row r="111" spans="1:16" ht="73.5" customHeight="1" x14ac:dyDescent="0.25">
      <c r="A111" s="19" t="s">
        <v>212</v>
      </c>
      <c r="B111" s="19" t="str">
        <f>INDEX(Resumes!$B$2:$B$101,MATCH(A111,Resumes!$A$2:$A$101,0))</f>
        <v>Divya Chatterjee</v>
      </c>
      <c r="C111" s="19" t="s">
        <v>346</v>
      </c>
      <c r="D111" s="19" t="str">
        <f>INDEX('Job Descriptions'!$B$2:$B$6,MATCH(C111,'Job Descriptions'!$A$2:$A$6,0))</f>
        <v>Product Manager - Fintech</v>
      </c>
      <c r="E111" s="20">
        <v>15</v>
      </c>
      <c r="F111" s="20">
        <v>25</v>
      </c>
      <c r="G111" s="20">
        <v>16</v>
      </c>
      <c r="H111" s="20">
        <v>3</v>
      </c>
      <c r="I111" s="16">
        <f t="shared" si="15"/>
        <v>59</v>
      </c>
      <c r="J111" s="15" t="str">
        <f t="shared" si="16"/>
        <v>Review</v>
      </c>
      <c r="K111" s="15">
        <f t="shared" si="17"/>
        <v>8</v>
      </c>
      <c r="L111" s="19" t="str">
        <f t="shared" si="18"/>
        <v/>
      </c>
      <c r="M111" s="21" t="s">
        <v>115</v>
      </c>
      <c r="N111" s="21" t="s">
        <v>362</v>
      </c>
      <c r="O111" s="21" t="s">
        <v>363</v>
      </c>
      <c r="P111" s="19" t="str">
        <f t="shared" si="19"/>
        <v>CV057|JD5</v>
      </c>
    </row>
    <row r="112" spans="1:16" ht="73.5" customHeight="1" x14ac:dyDescent="0.25">
      <c r="A112" s="19" t="s">
        <v>145</v>
      </c>
      <c r="B112" s="19" t="str">
        <f>INDEX(Resumes!$B$2:$B$101,MATCH(A112,Resumes!$A$2:$A$101,0))</f>
        <v>Lakshmi Gupta</v>
      </c>
      <c r="C112" s="19" t="s">
        <v>346</v>
      </c>
      <c r="D112" s="19" t="str">
        <f>INDEX('Job Descriptions'!$B$2:$B$6,MATCH(C112,'Job Descriptions'!$A$2:$A$6,0))</f>
        <v>Product Manager - Fintech</v>
      </c>
      <c r="E112" s="20">
        <v>15</v>
      </c>
      <c r="F112" s="20">
        <v>25</v>
      </c>
      <c r="G112" s="20">
        <v>16</v>
      </c>
      <c r="H112" s="20">
        <v>3</v>
      </c>
      <c r="I112" s="16">
        <f t="shared" si="15"/>
        <v>59</v>
      </c>
      <c r="J112" s="15" t="str">
        <f t="shared" si="16"/>
        <v>Review</v>
      </c>
      <c r="K112" s="15">
        <f t="shared" si="17"/>
        <v>8</v>
      </c>
      <c r="L112" s="19" t="str">
        <f t="shared" si="18"/>
        <v/>
      </c>
      <c r="M112" s="21" t="s">
        <v>115</v>
      </c>
      <c r="N112" s="21" t="s">
        <v>364</v>
      </c>
      <c r="O112" s="21" t="s">
        <v>365</v>
      </c>
      <c r="P112" s="19" t="str">
        <f t="shared" si="19"/>
        <v>CV087|JD5</v>
      </c>
    </row>
    <row r="113" spans="1:16" ht="73.5" customHeight="1" x14ac:dyDescent="0.25">
      <c r="A113" s="19" t="s">
        <v>122</v>
      </c>
      <c r="B113" s="19" t="str">
        <f>INDEX(Resumes!$B$2:$B$101,MATCH(A113,Resumes!$A$2:$A$101,0))</f>
        <v>Riya Mehta</v>
      </c>
      <c r="C113" s="19" t="s">
        <v>346</v>
      </c>
      <c r="D113" s="19" t="str">
        <f>INDEX('Job Descriptions'!$B$2:$B$6,MATCH(C113,'Job Descriptions'!$A$2:$A$6,0))</f>
        <v>Product Manager - Fintech</v>
      </c>
      <c r="E113" s="20">
        <v>15</v>
      </c>
      <c r="F113" s="20">
        <v>25</v>
      </c>
      <c r="G113" s="20">
        <v>12</v>
      </c>
      <c r="H113" s="20">
        <v>6</v>
      </c>
      <c r="I113" s="16">
        <f t="shared" si="15"/>
        <v>58</v>
      </c>
      <c r="J113" s="15" t="str">
        <f t="shared" si="16"/>
        <v>Review</v>
      </c>
      <c r="K113" s="15">
        <f t="shared" si="17"/>
        <v>10</v>
      </c>
      <c r="L113" s="19" t="str">
        <f t="shared" si="18"/>
        <v/>
      </c>
      <c r="M113" s="21" t="s">
        <v>347</v>
      </c>
      <c r="N113" s="21" t="s">
        <v>366</v>
      </c>
      <c r="O113" s="21" t="s">
        <v>367</v>
      </c>
      <c r="P113" s="19" t="str">
        <f t="shared" si="19"/>
        <v>CV089|JD5</v>
      </c>
    </row>
    <row r="114" spans="1:16" ht="73.5" customHeight="1" x14ac:dyDescent="0.25">
      <c r="A114" s="19" t="s">
        <v>111</v>
      </c>
      <c r="B114" s="19" t="str">
        <f>INDEX(Resumes!$B$2:$B$101,MATCH(A114,Resumes!$A$2:$A$101,0))</f>
        <v>Tushar Deshmukh</v>
      </c>
      <c r="C114" s="19" t="s">
        <v>346</v>
      </c>
      <c r="D114" s="19" t="str">
        <f>INDEX('Job Descriptions'!$B$2:$B$6,MATCH(C114,'Job Descriptions'!$A$2:$A$6,0))</f>
        <v>Product Manager - Fintech</v>
      </c>
      <c r="E114" s="20">
        <v>15</v>
      </c>
      <c r="F114" s="20">
        <v>25</v>
      </c>
      <c r="G114" s="20">
        <v>12</v>
      </c>
      <c r="H114" s="20">
        <v>6</v>
      </c>
      <c r="I114" s="16">
        <f t="shared" si="15"/>
        <v>58</v>
      </c>
      <c r="J114" s="15" t="str">
        <f t="shared" si="16"/>
        <v>Review</v>
      </c>
      <c r="K114" s="15">
        <f t="shared" si="17"/>
        <v>10</v>
      </c>
      <c r="L114" s="19" t="str">
        <f t="shared" si="18"/>
        <v/>
      </c>
      <c r="M114" s="21" t="s">
        <v>356</v>
      </c>
      <c r="N114" s="21" t="s">
        <v>368</v>
      </c>
      <c r="O114" s="21" t="s">
        <v>369</v>
      </c>
      <c r="P114" s="19" t="str">
        <f t="shared" si="19"/>
        <v>CV099|JD5</v>
      </c>
    </row>
    <row r="115" spans="1:16" ht="73.5" customHeight="1" x14ac:dyDescent="0.25">
      <c r="A115" s="19" t="s">
        <v>156</v>
      </c>
      <c r="B115" s="19" t="str">
        <f>INDEX(Resumes!$B$2:$B$101,MATCH(A115,Resumes!$A$2:$A$101,0))</f>
        <v>Sandeep Das</v>
      </c>
      <c r="C115" s="19" t="s">
        <v>346</v>
      </c>
      <c r="D115" s="19" t="str">
        <f>INDEX('Job Descriptions'!$B$2:$B$6,MATCH(C115,'Job Descriptions'!$A$2:$A$6,0))</f>
        <v>Product Manager - Fintech</v>
      </c>
      <c r="E115" s="20">
        <v>25</v>
      </c>
      <c r="F115" s="20">
        <v>25</v>
      </c>
      <c r="G115" s="20">
        <v>0</v>
      </c>
      <c r="H115" s="20">
        <v>7</v>
      </c>
      <c r="I115" s="16">
        <f t="shared" si="15"/>
        <v>57</v>
      </c>
      <c r="J115" s="15" t="str">
        <f t="shared" si="16"/>
        <v>Not shortlisted</v>
      </c>
      <c r="K115" s="15">
        <f t="shared" si="17"/>
        <v>12</v>
      </c>
      <c r="L115" s="19" t="str">
        <f t="shared" si="18"/>
        <v>Capped by minimum-skills rule</v>
      </c>
      <c r="M115" s="21" t="s">
        <v>115</v>
      </c>
      <c r="N115" s="21" t="s">
        <v>370</v>
      </c>
      <c r="O115" s="21" t="s">
        <v>371</v>
      </c>
      <c r="P115" s="19" t="str">
        <f t="shared" si="19"/>
        <v>CV022|JD5</v>
      </c>
    </row>
    <row r="116" spans="1:16" ht="73.5" customHeight="1" x14ac:dyDescent="0.25">
      <c r="A116" s="19" t="s">
        <v>268</v>
      </c>
      <c r="B116" s="19" t="str">
        <f>INDEX(Resumes!$B$2:$B$101,MATCH(A116,Resumes!$A$2:$A$101,0))</f>
        <v>Sandeep Patil</v>
      </c>
      <c r="C116" s="19" t="s">
        <v>346</v>
      </c>
      <c r="D116" s="19" t="str">
        <f>INDEX('Job Descriptions'!$B$2:$B$6,MATCH(C116,'Job Descriptions'!$A$2:$A$6,0))</f>
        <v>Product Manager - Fintech</v>
      </c>
      <c r="E116" s="20">
        <v>15</v>
      </c>
      <c r="F116" s="20">
        <v>20</v>
      </c>
      <c r="G116" s="20">
        <v>16</v>
      </c>
      <c r="H116" s="20">
        <v>6</v>
      </c>
      <c r="I116" s="16">
        <f t="shared" si="15"/>
        <v>57</v>
      </c>
      <c r="J116" s="15" t="str">
        <f t="shared" si="16"/>
        <v>Review</v>
      </c>
      <c r="K116" s="15">
        <f t="shared" si="17"/>
        <v>12</v>
      </c>
      <c r="L116" s="19" t="str">
        <f t="shared" si="18"/>
        <v/>
      </c>
      <c r="M116" s="21" t="s">
        <v>115</v>
      </c>
      <c r="N116" s="21" t="s">
        <v>372</v>
      </c>
      <c r="O116" s="21" t="s">
        <v>373</v>
      </c>
      <c r="P116" s="19" t="str">
        <f t="shared" si="19"/>
        <v>CV093|JD5</v>
      </c>
    </row>
    <row r="117" spans="1:16" ht="73.5" customHeight="1" x14ac:dyDescent="0.25">
      <c r="A117" s="19" t="s">
        <v>194</v>
      </c>
      <c r="B117" s="19" t="str">
        <f>INDEX(Resumes!$B$2:$B$101,MATCH(A117,Resumes!$A$2:$A$101,0))</f>
        <v>Simran Menon</v>
      </c>
      <c r="C117" s="19" t="s">
        <v>346</v>
      </c>
      <c r="D117" s="19" t="str">
        <f>INDEX('Job Descriptions'!$B$2:$B$6,MATCH(C117,'Job Descriptions'!$A$2:$A$6,0))</f>
        <v>Product Manager - Fintech</v>
      </c>
      <c r="E117" s="20">
        <v>15</v>
      </c>
      <c r="F117" s="20">
        <v>25</v>
      </c>
      <c r="G117" s="20">
        <v>12</v>
      </c>
      <c r="H117" s="20">
        <v>4</v>
      </c>
      <c r="I117" s="16">
        <f t="shared" si="15"/>
        <v>56</v>
      </c>
      <c r="J117" s="15" t="str">
        <f t="shared" si="16"/>
        <v>Review</v>
      </c>
      <c r="K117" s="15">
        <f t="shared" si="17"/>
        <v>14</v>
      </c>
      <c r="L117" s="19" t="str">
        <f t="shared" si="18"/>
        <v/>
      </c>
      <c r="M117" s="21" t="s">
        <v>356</v>
      </c>
      <c r="N117" s="21" t="s">
        <v>374</v>
      </c>
      <c r="O117" s="21" t="s">
        <v>375</v>
      </c>
      <c r="P117" s="19" t="str">
        <f t="shared" si="19"/>
        <v>CV028|JD5</v>
      </c>
    </row>
    <row r="118" spans="1:16" ht="73.5" customHeight="1" x14ac:dyDescent="0.25">
      <c r="A118" s="19" t="s">
        <v>232</v>
      </c>
      <c r="B118" s="19" t="str">
        <f>INDEX(Resumes!$B$2:$B$101,MATCH(A118,Resumes!$A$2:$A$101,0))</f>
        <v>Simran Mehta</v>
      </c>
      <c r="C118" s="19" t="s">
        <v>346</v>
      </c>
      <c r="D118" s="19" t="str">
        <f>INDEX('Job Descriptions'!$B$2:$B$6,MATCH(C118,'Job Descriptions'!$A$2:$A$6,0))</f>
        <v>Product Manager - Fintech</v>
      </c>
      <c r="E118" s="20">
        <v>15</v>
      </c>
      <c r="F118" s="20">
        <v>25</v>
      </c>
      <c r="G118" s="20">
        <v>12</v>
      </c>
      <c r="H118" s="20">
        <v>3</v>
      </c>
      <c r="I118" s="16">
        <f t="shared" si="15"/>
        <v>55</v>
      </c>
      <c r="J118" s="15" t="str">
        <f t="shared" si="16"/>
        <v>Review</v>
      </c>
      <c r="K118" s="15">
        <f t="shared" si="17"/>
        <v>15</v>
      </c>
      <c r="L118" s="19" t="str">
        <f t="shared" si="18"/>
        <v/>
      </c>
      <c r="M118" s="21" t="s">
        <v>347</v>
      </c>
      <c r="N118" s="21" t="s">
        <v>376</v>
      </c>
      <c r="O118" s="21" t="s">
        <v>377</v>
      </c>
      <c r="P118" s="19" t="str">
        <f t="shared" si="19"/>
        <v>CV008|JD5</v>
      </c>
    </row>
    <row r="119" spans="1:16" ht="73.5" customHeight="1" x14ac:dyDescent="0.25">
      <c r="A119" s="19" t="s">
        <v>164</v>
      </c>
      <c r="B119" s="19" t="str">
        <f>INDEX(Resumes!$B$2:$B$101,MATCH(A119,Resumes!$A$2:$A$101,0))</f>
        <v>Gurpreet Chatterjee</v>
      </c>
      <c r="C119" s="19" t="s">
        <v>346</v>
      </c>
      <c r="D119" s="19" t="str">
        <f>INDEX('Job Descriptions'!$B$2:$B$6,MATCH(C119,'Job Descriptions'!$A$2:$A$6,0))</f>
        <v>Product Manager - Fintech</v>
      </c>
      <c r="E119" s="20">
        <v>15</v>
      </c>
      <c r="F119" s="20">
        <v>25</v>
      </c>
      <c r="G119" s="20">
        <v>12</v>
      </c>
      <c r="H119" s="20">
        <v>3</v>
      </c>
      <c r="I119" s="16">
        <f t="shared" si="15"/>
        <v>55</v>
      </c>
      <c r="J119" s="15" t="str">
        <f t="shared" si="16"/>
        <v>Review</v>
      </c>
      <c r="K119" s="15">
        <f t="shared" si="17"/>
        <v>15</v>
      </c>
      <c r="L119" s="19" t="str">
        <f t="shared" si="18"/>
        <v/>
      </c>
      <c r="M119" s="21" t="s">
        <v>356</v>
      </c>
      <c r="N119" s="21" t="s">
        <v>378</v>
      </c>
      <c r="O119" s="21" t="s">
        <v>375</v>
      </c>
      <c r="P119" s="19" t="str">
        <f t="shared" si="19"/>
        <v>CV039|JD5</v>
      </c>
    </row>
    <row r="120" spans="1:16" ht="73.5" customHeight="1" x14ac:dyDescent="0.25">
      <c r="A120" s="19" t="s">
        <v>214</v>
      </c>
      <c r="B120" s="19" t="str">
        <f>INDEX(Resumes!$B$2:$B$101,MATCH(A120,Resumes!$A$2:$A$101,0))</f>
        <v>Pooja Verma</v>
      </c>
      <c r="C120" s="19" t="s">
        <v>346</v>
      </c>
      <c r="D120" s="19" t="str">
        <f>INDEX('Job Descriptions'!$B$2:$B$6,MATCH(C120,'Job Descriptions'!$A$2:$A$6,0))</f>
        <v>Product Manager - Fintech</v>
      </c>
      <c r="E120" s="20">
        <v>15</v>
      </c>
      <c r="F120" s="20">
        <v>25</v>
      </c>
      <c r="G120" s="20">
        <v>12</v>
      </c>
      <c r="H120" s="20">
        <v>3</v>
      </c>
      <c r="I120" s="16">
        <f t="shared" si="15"/>
        <v>55</v>
      </c>
      <c r="J120" s="15" t="str">
        <f t="shared" si="16"/>
        <v>Review</v>
      </c>
      <c r="K120" s="15">
        <f t="shared" si="17"/>
        <v>15</v>
      </c>
      <c r="L120" s="19" t="str">
        <f t="shared" si="18"/>
        <v/>
      </c>
      <c r="M120" s="21" t="s">
        <v>356</v>
      </c>
      <c r="N120" s="21" t="s">
        <v>379</v>
      </c>
      <c r="O120" s="21" t="s">
        <v>375</v>
      </c>
      <c r="P120" s="19" t="str">
        <f t="shared" si="19"/>
        <v>CV063|JD5</v>
      </c>
    </row>
    <row r="121" spans="1:16" ht="73.5" customHeight="1" x14ac:dyDescent="0.25">
      <c r="A121" s="19" t="s">
        <v>342</v>
      </c>
      <c r="B121" s="19" t="str">
        <f>INDEX(Resumes!$B$2:$B$101,MATCH(A121,Resumes!$A$2:$A$101,0))</f>
        <v>Priya Khan</v>
      </c>
      <c r="C121" s="19" t="s">
        <v>346</v>
      </c>
      <c r="D121" s="19" t="str">
        <f>INDEX('Job Descriptions'!$B$2:$B$6,MATCH(C121,'Job Descriptions'!$A$2:$A$6,0))</f>
        <v>Product Manager - Fintech</v>
      </c>
      <c r="E121" s="20">
        <v>15</v>
      </c>
      <c r="F121" s="20">
        <v>12</v>
      </c>
      <c r="G121" s="20">
        <v>28</v>
      </c>
      <c r="H121" s="20">
        <v>0</v>
      </c>
      <c r="I121" s="16">
        <f t="shared" si="15"/>
        <v>55</v>
      </c>
      <c r="J121" s="15" t="str">
        <f t="shared" si="16"/>
        <v>Review</v>
      </c>
      <c r="K121" s="15">
        <f t="shared" si="17"/>
        <v>15</v>
      </c>
      <c r="L121" s="19" t="str">
        <f t="shared" si="18"/>
        <v/>
      </c>
      <c r="M121" s="21" t="s">
        <v>347</v>
      </c>
      <c r="N121" s="21" t="s">
        <v>380</v>
      </c>
      <c r="O121" s="21" t="s">
        <v>381</v>
      </c>
      <c r="P121" s="19" t="str">
        <f t="shared" si="19"/>
        <v>CV067|JD5</v>
      </c>
    </row>
    <row r="122" spans="1:16" ht="73.5" customHeight="1" x14ac:dyDescent="0.25">
      <c r="A122" s="19" t="s">
        <v>159</v>
      </c>
      <c r="B122" s="19" t="str">
        <f>INDEX(Resumes!$B$2:$B$101,MATCH(A122,Resumes!$A$2:$A$101,0))</f>
        <v>Farhan Banerjee</v>
      </c>
      <c r="C122" s="19" t="s">
        <v>346</v>
      </c>
      <c r="D122" s="19" t="str">
        <f>INDEX('Job Descriptions'!$B$2:$B$6,MATCH(C122,'Job Descriptions'!$A$2:$A$6,0))</f>
        <v>Product Manager - Fintech</v>
      </c>
      <c r="E122" s="20">
        <v>15</v>
      </c>
      <c r="F122" s="20">
        <v>25</v>
      </c>
      <c r="G122" s="20">
        <v>8</v>
      </c>
      <c r="H122" s="20">
        <v>7</v>
      </c>
      <c r="I122" s="16">
        <f t="shared" si="15"/>
        <v>55</v>
      </c>
      <c r="J122" s="15" t="str">
        <f t="shared" si="16"/>
        <v>Review</v>
      </c>
      <c r="K122" s="15">
        <f t="shared" si="17"/>
        <v>15</v>
      </c>
      <c r="L122" s="19" t="str">
        <f t="shared" si="18"/>
        <v/>
      </c>
      <c r="M122" s="21" t="s">
        <v>115</v>
      </c>
      <c r="N122" s="21" t="s">
        <v>382</v>
      </c>
      <c r="O122" s="21" t="s">
        <v>383</v>
      </c>
      <c r="P122" s="19" t="str">
        <f t="shared" si="19"/>
        <v>CV072|JD5</v>
      </c>
    </row>
    <row r="123" spans="1:16" ht="73.5" customHeight="1" x14ac:dyDescent="0.25">
      <c r="A123" s="19" t="s">
        <v>302</v>
      </c>
      <c r="B123" s="19" t="str">
        <f>INDEX(Resumes!$B$2:$B$101,MATCH(A123,Resumes!$A$2:$A$101,0))</f>
        <v>Simran Mehta</v>
      </c>
      <c r="C123" s="19" t="s">
        <v>346</v>
      </c>
      <c r="D123" s="19" t="str">
        <f>INDEX('Job Descriptions'!$B$2:$B$6,MATCH(C123,'Job Descriptions'!$A$2:$A$6,0))</f>
        <v>Product Manager - Fintech</v>
      </c>
      <c r="E123" s="20">
        <v>5</v>
      </c>
      <c r="F123" s="20">
        <v>25</v>
      </c>
      <c r="G123" s="20">
        <v>24</v>
      </c>
      <c r="H123" s="20">
        <v>0</v>
      </c>
      <c r="I123" s="16">
        <f t="shared" si="15"/>
        <v>54</v>
      </c>
      <c r="J123" s="15" t="str">
        <f t="shared" si="16"/>
        <v>Not shortlisted</v>
      </c>
      <c r="K123" s="15">
        <f t="shared" si="17"/>
        <v>20</v>
      </c>
      <c r="L123" s="19" t="str">
        <f t="shared" si="18"/>
        <v/>
      </c>
      <c r="M123" s="21" t="s">
        <v>115</v>
      </c>
      <c r="N123" s="21" t="s">
        <v>384</v>
      </c>
      <c r="O123" s="21" t="s">
        <v>385</v>
      </c>
      <c r="P123" s="19" t="str">
        <f t="shared" si="19"/>
        <v>CV059|JD5</v>
      </c>
    </row>
    <row r="124" spans="1:16" ht="73.5" customHeight="1" x14ac:dyDescent="0.25">
      <c r="A124" s="19" t="s">
        <v>279</v>
      </c>
      <c r="B124" s="19" t="str">
        <f>INDEX(Resumes!$B$2:$B$101,MATCH(A124,Resumes!$A$2:$A$101,0))</f>
        <v>Aditya Banerjee</v>
      </c>
      <c r="C124" s="19" t="s">
        <v>346</v>
      </c>
      <c r="D124" s="19" t="str">
        <f>INDEX('Job Descriptions'!$B$2:$B$6,MATCH(C124,'Job Descriptions'!$A$2:$A$6,0))</f>
        <v>Product Manager - Fintech</v>
      </c>
      <c r="E124" s="20">
        <v>15</v>
      </c>
      <c r="F124" s="20">
        <v>25</v>
      </c>
      <c r="G124" s="20">
        <v>8</v>
      </c>
      <c r="H124" s="20">
        <v>5</v>
      </c>
      <c r="I124" s="16">
        <f t="shared" si="15"/>
        <v>53</v>
      </c>
      <c r="J124" s="15" t="str">
        <f t="shared" si="16"/>
        <v>Not shortlisted</v>
      </c>
      <c r="K124" s="15">
        <f t="shared" si="17"/>
        <v>21</v>
      </c>
      <c r="L124" s="19" t="str">
        <f t="shared" si="18"/>
        <v/>
      </c>
      <c r="M124" s="21" t="s">
        <v>115</v>
      </c>
      <c r="N124" s="21" t="s">
        <v>386</v>
      </c>
      <c r="O124" s="21" t="s">
        <v>383</v>
      </c>
      <c r="P124" s="19" t="str">
        <f t="shared" si="19"/>
        <v>CV033|JD5</v>
      </c>
    </row>
    <row r="125" spans="1:16" ht="73.5" customHeight="1" x14ac:dyDescent="0.25">
      <c r="A125" s="19" t="s">
        <v>196</v>
      </c>
      <c r="B125" s="19" t="str">
        <f>INDEX(Resumes!$B$2:$B$101,MATCH(A125,Resumes!$A$2:$A$101,0))</f>
        <v>Vikram Sharma</v>
      </c>
      <c r="C125" s="19" t="s">
        <v>346</v>
      </c>
      <c r="D125" s="19" t="str">
        <f>INDEX('Job Descriptions'!$B$2:$B$6,MATCH(C125,'Job Descriptions'!$A$2:$A$6,0))</f>
        <v>Product Manager - Fintech</v>
      </c>
      <c r="E125" s="20">
        <v>15</v>
      </c>
      <c r="F125" s="20">
        <v>25</v>
      </c>
      <c r="G125" s="20">
        <v>8</v>
      </c>
      <c r="H125" s="20">
        <v>5</v>
      </c>
      <c r="I125" s="16">
        <f t="shared" si="15"/>
        <v>53</v>
      </c>
      <c r="J125" s="15" t="str">
        <f t="shared" si="16"/>
        <v>Not shortlisted</v>
      </c>
      <c r="K125" s="15">
        <f t="shared" si="17"/>
        <v>21</v>
      </c>
      <c r="L125" s="19" t="str">
        <f t="shared" si="18"/>
        <v/>
      </c>
      <c r="M125" s="21" t="s">
        <v>115</v>
      </c>
      <c r="N125" s="21" t="s">
        <v>387</v>
      </c>
      <c r="O125" s="21" t="s">
        <v>383</v>
      </c>
      <c r="P125" s="19" t="str">
        <f t="shared" si="19"/>
        <v>CV049|JD5</v>
      </c>
    </row>
    <row r="126" spans="1:16" ht="73.5" customHeight="1" x14ac:dyDescent="0.25">
      <c r="A126" s="19" t="s">
        <v>252</v>
      </c>
      <c r="B126" s="19" t="str">
        <f>INDEX(Resumes!$B$2:$B$101,MATCH(A126,Resumes!$A$2:$A$101,0))</f>
        <v>Kabir Reddy</v>
      </c>
      <c r="C126" s="19" t="s">
        <v>346</v>
      </c>
      <c r="D126" s="19" t="str">
        <f>INDEX('Job Descriptions'!$B$2:$B$6,MATCH(C126,'Job Descriptions'!$A$2:$A$6,0))</f>
        <v>Product Manager - Fintech</v>
      </c>
      <c r="E126" s="20">
        <v>15</v>
      </c>
      <c r="F126" s="20">
        <v>25</v>
      </c>
      <c r="G126" s="20">
        <v>8</v>
      </c>
      <c r="H126" s="20">
        <v>5</v>
      </c>
      <c r="I126" s="16">
        <f t="shared" si="15"/>
        <v>53</v>
      </c>
      <c r="J126" s="15" t="str">
        <f t="shared" si="16"/>
        <v>Not shortlisted</v>
      </c>
      <c r="K126" s="15">
        <f t="shared" si="17"/>
        <v>21</v>
      </c>
      <c r="L126" s="19" t="str">
        <f t="shared" si="18"/>
        <v/>
      </c>
      <c r="M126" s="21" t="s">
        <v>115</v>
      </c>
      <c r="N126" s="21" t="s">
        <v>388</v>
      </c>
      <c r="O126" s="21" t="s">
        <v>389</v>
      </c>
      <c r="P126" s="19" t="str">
        <f t="shared" si="19"/>
        <v>CV081|JD5</v>
      </c>
    </row>
    <row r="127" spans="1:16" ht="73.5" customHeight="1" x14ac:dyDescent="0.25">
      <c r="A127" s="19" t="s">
        <v>137</v>
      </c>
      <c r="B127" s="19" t="str">
        <f>INDEX(Resumes!$B$2:$B$101,MATCH(A127,Resumes!$A$2:$A$101,0))</f>
        <v>Gauri Mishra</v>
      </c>
      <c r="C127" s="19" t="s">
        <v>346</v>
      </c>
      <c r="D127" s="19" t="str">
        <f>INDEX('Job Descriptions'!$B$2:$B$6,MATCH(C127,'Job Descriptions'!$A$2:$A$6,0))</f>
        <v>Product Manager - Fintech</v>
      </c>
      <c r="E127" s="20">
        <v>15</v>
      </c>
      <c r="F127" s="20">
        <v>25</v>
      </c>
      <c r="G127" s="20">
        <v>8</v>
      </c>
      <c r="H127" s="20">
        <v>4</v>
      </c>
      <c r="I127" s="16">
        <f t="shared" si="15"/>
        <v>52</v>
      </c>
      <c r="J127" s="15" t="str">
        <f t="shared" si="16"/>
        <v>Not shortlisted</v>
      </c>
      <c r="K127" s="15">
        <f t="shared" si="17"/>
        <v>24</v>
      </c>
      <c r="L127" s="19" t="str">
        <f t="shared" si="18"/>
        <v/>
      </c>
      <c r="M127" s="21" t="s">
        <v>115</v>
      </c>
      <c r="N127" s="21" t="s">
        <v>390</v>
      </c>
      <c r="O127" s="21" t="s">
        <v>383</v>
      </c>
      <c r="P127" s="19" t="str">
        <f t="shared" si="19"/>
        <v>CV011|JD5</v>
      </c>
    </row>
    <row r="128" spans="1:16" ht="73.5" customHeight="1" x14ac:dyDescent="0.25">
      <c r="A128" s="19" t="s">
        <v>190</v>
      </c>
      <c r="B128" s="19" t="str">
        <f>INDEX(Resumes!$B$2:$B$101,MATCH(A128,Resumes!$A$2:$A$101,0))</f>
        <v>Aisha Gupta</v>
      </c>
      <c r="C128" s="19" t="s">
        <v>346</v>
      </c>
      <c r="D128" s="19" t="str">
        <f>INDEX('Job Descriptions'!$B$2:$B$6,MATCH(C128,'Job Descriptions'!$A$2:$A$6,0))</f>
        <v>Product Manager - Fintech</v>
      </c>
      <c r="E128" s="20">
        <v>15</v>
      </c>
      <c r="F128" s="20">
        <v>25</v>
      </c>
      <c r="G128" s="20">
        <v>8</v>
      </c>
      <c r="H128" s="20">
        <v>4</v>
      </c>
      <c r="I128" s="16">
        <f t="shared" si="15"/>
        <v>52</v>
      </c>
      <c r="J128" s="15" t="str">
        <f t="shared" si="16"/>
        <v>Not shortlisted</v>
      </c>
      <c r="K128" s="15">
        <f t="shared" si="17"/>
        <v>24</v>
      </c>
      <c r="L128" s="19" t="str">
        <f t="shared" si="18"/>
        <v/>
      </c>
      <c r="M128" s="21" t="s">
        <v>115</v>
      </c>
      <c r="N128" s="21" t="s">
        <v>391</v>
      </c>
      <c r="O128" s="21" t="s">
        <v>392</v>
      </c>
      <c r="P128" s="19" t="str">
        <f t="shared" si="19"/>
        <v>CV034|JD5</v>
      </c>
    </row>
    <row r="129" spans="1:16" ht="73.5" customHeight="1" x14ac:dyDescent="0.25">
      <c r="A129" s="19" t="s">
        <v>318</v>
      </c>
      <c r="B129" s="19" t="str">
        <f>INDEX(Resumes!$B$2:$B$101,MATCH(A129,Resumes!$A$2:$A$101,0))</f>
        <v>Kavya Nair</v>
      </c>
      <c r="C129" s="19" t="s">
        <v>346</v>
      </c>
      <c r="D129" s="19" t="str">
        <f>INDEX('Job Descriptions'!$B$2:$B$6,MATCH(C129,'Job Descriptions'!$A$2:$A$6,0))</f>
        <v>Product Manager - Fintech</v>
      </c>
      <c r="E129" s="20">
        <v>15</v>
      </c>
      <c r="F129" s="20">
        <v>25</v>
      </c>
      <c r="G129" s="20">
        <v>12</v>
      </c>
      <c r="H129" s="20">
        <v>0</v>
      </c>
      <c r="I129" s="16">
        <f t="shared" si="15"/>
        <v>52</v>
      </c>
      <c r="J129" s="15" t="str">
        <f t="shared" si="16"/>
        <v>Not shortlisted</v>
      </c>
      <c r="K129" s="15">
        <f t="shared" si="17"/>
        <v>24</v>
      </c>
      <c r="L129" s="19" t="str">
        <f t="shared" si="18"/>
        <v/>
      </c>
      <c r="M129" s="21" t="s">
        <v>347</v>
      </c>
      <c r="N129" s="21" t="s">
        <v>393</v>
      </c>
      <c r="O129" s="21" t="s">
        <v>394</v>
      </c>
      <c r="P129" s="19" t="str">
        <f t="shared" si="19"/>
        <v>CV064|JD5</v>
      </c>
    </row>
    <row r="130" spans="1:16" ht="73.5" customHeight="1" x14ac:dyDescent="0.25">
      <c r="A130" s="19" t="s">
        <v>202</v>
      </c>
      <c r="B130" s="19" t="str">
        <f>INDEX(Resumes!$B$2:$B$101,MATCH(A130,Resumes!$A$2:$A$101,0))</f>
        <v>Nikhil Mehta</v>
      </c>
      <c r="C130" s="19" t="s">
        <v>346</v>
      </c>
      <c r="D130" s="19" t="str">
        <f>INDEX('Job Descriptions'!$B$2:$B$6,MATCH(C130,'Job Descriptions'!$A$2:$A$6,0))</f>
        <v>Product Manager - Fintech</v>
      </c>
      <c r="E130" s="20">
        <v>15</v>
      </c>
      <c r="F130" s="20">
        <v>25</v>
      </c>
      <c r="G130" s="20">
        <v>8</v>
      </c>
      <c r="H130" s="20">
        <v>4</v>
      </c>
      <c r="I130" s="16">
        <f t="shared" si="15"/>
        <v>52</v>
      </c>
      <c r="J130" s="15" t="str">
        <f t="shared" si="16"/>
        <v>Not shortlisted</v>
      </c>
      <c r="K130" s="15">
        <f t="shared" si="17"/>
        <v>24</v>
      </c>
      <c r="L130" s="19" t="str">
        <f t="shared" si="18"/>
        <v/>
      </c>
      <c r="M130" s="21" t="s">
        <v>115</v>
      </c>
      <c r="N130" s="21" t="s">
        <v>395</v>
      </c>
      <c r="O130" s="21" t="s">
        <v>389</v>
      </c>
      <c r="P130" s="19" t="str">
        <f t="shared" si="19"/>
        <v>CV090|JD5</v>
      </c>
    </row>
    <row r="131" spans="1:16" ht="73.5" customHeight="1" x14ac:dyDescent="0.25">
      <c r="A131" s="19" t="s">
        <v>277</v>
      </c>
      <c r="B131" s="19" t="str">
        <f>INDEX(Resumes!$B$2:$B$101,MATCH(A131,Resumes!$A$2:$A$101,0))</f>
        <v>Anjali Mehta</v>
      </c>
      <c r="C131" s="19" t="s">
        <v>346</v>
      </c>
      <c r="D131" s="19" t="str">
        <f>INDEX('Job Descriptions'!$B$2:$B$6,MATCH(C131,'Job Descriptions'!$A$2:$A$6,0))</f>
        <v>Product Manager - Fintech</v>
      </c>
      <c r="E131" s="20">
        <v>5</v>
      </c>
      <c r="F131" s="20">
        <v>25</v>
      </c>
      <c r="G131" s="20">
        <v>16</v>
      </c>
      <c r="H131" s="20">
        <v>5</v>
      </c>
      <c r="I131" s="16">
        <f t="shared" si="15"/>
        <v>51</v>
      </c>
      <c r="J131" s="15" t="str">
        <f t="shared" si="16"/>
        <v>Not shortlisted</v>
      </c>
      <c r="K131" s="15">
        <f t="shared" si="17"/>
        <v>28</v>
      </c>
      <c r="L131" s="19" t="str">
        <f t="shared" si="18"/>
        <v/>
      </c>
      <c r="M131" s="21" t="s">
        <v>115</v>
      </c>
      <c r="N131" s="21" t="s">
        <v>396</v>
      </c>
      <c r="O131" s="21" t="s">
        <v>353</v>
      </c>
      <c r="P131" s="19" t="str">
        <f t="shared" si="19"/>
        <v>CV024|JD5</v>
      </c>
    </row>
    <row r="132" spans="1:16" ht="73.5" customHeight="1" x14ac:dyDescent="0.25">
      <c r="A132" s="19" t="s">
        <v>244</v>
      </c>
      <c r="B132" s="19" t="str">
        <f>INDEX(Resumes!$B$2:$B$101,MATCH(A132,Resumes!$A$2:$A$101,0))</f>
        <v>Simran Fernandes</v>
      </c>
      <c r="C132" s="19" t="s">
        <v>346</v>
      </c>
      <c r="D132" s="19" t="str">
        <f>INDEX('Job Descriptions'!$B$2:$B$6,MATCH(C132,'Job Descriptions'!$A$2:$A$6,0))</f>
        <v>Product Manager - Fintech</v>
      </c>
      <c r="E132" s="20">
        <v>15</v>
      </c>
      <c r="F132" s="20">
        <v>25</v>
      </c>
      <c r="G132" s="20">
        <v>8</v>
      </c>
      <c r="H132" s="20">
        <v>3</v>
      </c>
      <c r="I132" s="16">
        <f t="shared" ref="I132:I163" si="20">SUM(E132:H132)</f>
        <v>51</v>
      </c>
      <c r="J132" s="15" t="str">
        <f t="shared" ref="J132:J163" si="21">IF(AND(I132&gt;=SL_CUT,G132&gt;=SL_SKILL),"Shortlist",IF(AND(I132&gt;=RV_CUT,G132&gt;=RV_SKILL),"Review","Not shortlisted"))</f>
        <v>Not shortlisted</v>
      </c>
      <c r="K132" s="15">
        <f t="shared" ref="K132:K163" si="22">COUNTIFS($C$4:$C$203,C132,$I$4:$I$203,"&gt;"&amp;I132)+1</f>
        <v>28</v>
      </c>
      <c r="L132" s="19" t="str">
        <f t="shared" ref="L132:L163" si="23">IF(OR(AND(I132&gt;=SL_CUT,G132&lt;SL_SKILL),AND(I132&gt;=RV_CUT,G132&lt;RV_SKILL)),"Capped by minimum-skills rule","")</f>
        <v/>
      </c>
      <c r="M132" s="21" t="s">
        <v>115</v>
      </c>
      <c r="N132" s="21" t="s">
        <v>397</v>
      </c>
      <c r="O132" s="21" t="s">
        <v>389</v>
      </c>
      <c r="P132" s="19" t="str">
        <f t="shared" ref="P132:P163" si="24">A132&amp;"|"&amp;C132</f>
        <v>CV046|JD5</v>
      </c>
    </row>
    <row r="133" spans="1:16" ht="73.5" customHeight="1" x14ac:dyDescent="0.25">
      <c r="A133" s="19" t="s">
        <v>289</v>
      </c>
      <c r="B133" s="19" t="str">
        <f>INDEX(Resumes!$B$2:$B$101,MATCH(A133,Resumes!$A$2:$A$101,0))</f>
        <v>Meera Menon</v>
      </c>
      <c r="C133" s="19" t="s">
        <v>346</v>
      </c>
      <c r="D133" s="19" t="str">
        <f>INDEX('Job Descriptions'!$B$2:$B$6,MATCH(C133,'Job Descriptions'!$A$2:$A$6,0))</f>
        <v>Product Manager - Fintech</v>
      </c>
      <c r="E133" s="20">
        <v>25</v>
      </c>
      <c r="F133" s="20">
        <v>8</v>
      </c>
      <c r="G133" s="20">
        <v>12</v>
      </c>
      <c r="H133" s="20">
        <v>5</v>
      </c>
      <c r="I133" s="16">
        <f t="shared" si="20"/>
        <v>50</v>
      </c>
      <c r="J133" s="15" t="str">
        <f t="shared" si="21"/>
        <v>Not shortlisted</v>
      </c>
      <c r="K133" s="15">
        <f t="shared" si="22"/>
        <v>30</v>
      </c>
      <c r="L133" s="19" t="str">
        <f t="shared" si="23"/>
        <v/>
      </c>
      <c r="M133" s="21" t="s">
        <v>347</v>
      </c>
      <c r="N133" s="21" t="s">
        <v>398</v>
      </c>
      <c r="O133" s="21" t="s">
        <v>399</v>
      </c>
      <c r="P133" s="19" t="str">
        <f t="shared" si="24"/>
        <v>CV004|JD5</v>
      </c>
    </row>
    <row r="134" spans="1:16" ht="73.5" customHeight="1" x14ac:dyDescent="0.25">
      <c r="A134" s="19" t="s">
        <v>261</v>
      </c>
      <c r="B134" s="19" t="str">
        <f>INDEX(Resumes!$B$2:$B$101,MATCH(A134,Resumes!$A$2:$A$101,0))</f>
        <v>Deepak D'Souza</v>
      </c>
      <c r="C134" s="19" t="s">
        <v>346</v>
      </c>
      <c r="D134" s="19" t="str">
        <f>INDEX('Job Descriptions'!$B$2:$B$6,MATCH(C134,'Job Descriptions'!$A$2:$A$6,0))</f>
        <v>Product Manager - Fintech</v>
      </c>
      <c r="E134" s="20">
        <v>15</v>
      </c>
      <c r="F134" s="20">
        <v>8</v>
      </c>
      <c r="G134" s="20">
        <v>24</v>
      </c>
      <c r="H134" s="20">
        <v>3</v>
      </c>
      <c r="I134" s="16">
        <f t="shared" si="20"/>
        <v>50</v>
      </c>
      <c r="J134" s="15" t="str">
        <f t="shared" si="21"/>
        <v>Not shortlisted</v>
      </c>
      <c r="K134" s="15">
        <f t="shared" si="22"/>
        <v>30</v>
      </c>
      <c r="L134" s="19" t="str">
        <f t="shared" si="23"/>
        <v/>
      </c>
      <c r="M134" s="21" t="s">
        <v>400</v>
      </c>
      <c r="N134" s="21" t="s">
        <v>401</v>
      </c>
      <c r="O134" s="21" t="s">
        <v>402</v>
      </c>
      <c r="P134" s="19" t="str">
        <f t="shared" si="24"/>
        <v>CV035|JD5</v>
      </c>
    </row>
    <row r="135" spans="1:16" ht="73.5" customHeight="1" x14ac:dyDescent="0.25">
      <c r="A135" s="19" t="s">
        <v>248</v>
      </c>
      <c r="B135" s="19" t="str">
        <f>INDEX(Resumes!$B$2:$B$101,MATCH(A135,Resumes!$A$2:$A$101,0))</f>
        <v>Sneha Das</v>
      </c>
      <c r="C135" s="19" t="s">
        <v>346</v>
      </c>
      <c r="D135" s="19" t="str">
        <f>INDEX('Job Descriptions'!$B$2:$B$6,MATCH(C135,'Job Descriptions'!$A$2:$A$6,0))</f>
        <v>Product Manager - Fintech</v>
      </c>
      <c r="E135" s="20">
        <v>25</v>
      </c>
      <c r="F135" s="20">
        <v>12</v>
      </c>
      <c r="G135" s="20">
        <v>8</v>
      </c>
      <c r="H135" s="20">
        <v>5</v>
      </c>
      <c r="I135" s="16">
        <f t="shared" si="20"/>
        <v>50</v>
      </c>
      <c r="J135" s="15" t="str">
        <f t="shared" si="21"/>
        <v>Not shortlisted</v>
      </c>
      <c r="K135" s="15">
        <f t="shared" si="22"/>
        <v>30</v>
      </c>
      <c r="L135" s="19" t="str">
        <f t="shared" si="23"/>
        <v/>
      </c>
      <c r="M135" s="21" t="s">
        <v>115</v>
      </c>
      <c r="N135" s="21" t="s">
        <v>403</v>
      </c>
      <c r="O135" s="21" t="s">
        <v>404</v>
      </c>
      <c r="P135" s="19" t="str">
        <f t="shared" si="24"/>
        <v>CV054|JD5</v>
      </c>
    </row>
    <row r="136" spans="1:16" ht="73.5" customHeight="1" x14ac:dyDescent="0.25">
      <c r="A136" s="19" t="s">
        <v>265</v>
      </c>
      <c r="B136" s="19" t="str">
        <f>INDEX(Resumes!$B$2:$B$101,MATCH(A136,Resumes!$A$2:$A$101,0))</f>
        <v>Ishaan Kaur</v>
      </c>
      <c r="C136" s="19" t="s">
        <v>346</v>
      </c>
      <c r="D136" s="19" t="str">
        <f>INDEX('Job Descriptions'!$B$2:$B$6,MATCH(C136,'Job Descriptions'!$A$2:$A$6,0))</f>
        <v>Product Manager - Fintech</v>
      </c>
      <c r="E136" s="20">
        <v>5</v>
      </c>
      <c r="F136" s="20">
        <v>25</v>
      </c>
      <c r="G136" s="20">
        <v>16</v>
      </c>
      <c r="H136" s="20">
        <v>3</v>
      </c>
      <c r="I136" s="16">
        <f t="shared" si="20"/>
        <v>49</v>
      </c>
      <c r="J136" s="15" t="str">
        <f t="shared" si="21"/>
        <v>Not shortlisted</v>
      </c>
      <c r="K136" s="15">
        <f t="shared" si="22"/>
        <v>33</v>
      </c>
      <c r="L136" s="19" t="str">
        <f t="shared" si="23"/>
        <v/>
      </c>
      <c r="M136" s="21" t="s">
        <v>115</v>
      </c>
      <c r="N136" s="21" t="s">
        <v>405</v>
      </c>
      <c r="O136" s="21" t="s">
        <v>406</v>
      </c>
      <c r="P136" s="19" t="str">
        <f t="shared" si="24"/>
        <v>CV060|JD5</v>
      </c>
    </row>
    <row r="137" spans="1:16" ht="73.5" customHeight="1" x14ac:dyDescent="0.25">
      <c r="A137" s="19" t="s">
        <v>177</v>
      </c>
      <c r="B137" s="19" t="str">
        <f>INDEX(Resumes!$B$2:$B$101,MATCH(A137,Resumes!$A$2:$A$101,0))</f>
        <v>Gurpreet Rao</v>
      </c>
      <c r="C137" s="19" t="s">
        <v>346</v>
      </c>
      <c r="D137" s="19" t="str">
        <f>INDEX('Job Descriptions'!$B$2:$B$6,MATCH(C137,'Job Descriptions'!$A$2:$A$6,0))</f>
        <v>Product Manager - Fintech</v>
      </c>
      <c r="E137" s="20">
        <v>15</v>
      </c>
      <c r="F137" s="20">
        <v>15</v>
      </c>
      <c r="G137" s="20">
        <v>12</v>
      </c>
      <c r="H137" s="20">
        <v>7</v>
      </c>
      <c r="I137" s="16">
        <f t="shared" si="20"/>
        <v>49</v>
      </c>
      <c r="J137" s="15" t="str">
        <f t="shared" si="21"/>
        <v>Not shortlisted</v>
      </c>
      <c r="K137" s="15">
        <f t="shared" si="22"/>
        <v>33</v>
      </c>
      <c r="L137" s="19" t="str">
        <f t="shared" si="23"/>
        <v/>
      </c>
      <c r="M137" s="21" t="s">
        <v>356</v>
      </c>
      <c r="N137" s="21" t="s">
        <v>407</v>
      </c>
      <c r="O137" s="21" t="s">
        <v>408</v>
      </c>
      <c r="P137" s="19" t="str">
        <f t="shared" si="24"/>
        <v>CV084|JD5</v>
      </c>
    </row>
    <row r="138" spans="1:16" ht="73.5" customHeight="1" x14ac:dyDescent="0.25">
      <c r="A138" s="19" t="s">
        <v>330</v>
      </c>
      <c r="B138" s="19" t="str">
        <f>INDEX(Resumes!$B$2:$B$101,MATCH(A138,Resumes!$A$2:$A$101,0))</f>
        <v>Gurpreet Kulkarni</v>
      </c>
      <c r="C138" s="19" t="s">
        <v>346</v>
      </c>
      <c r="D138" s="19" t="str">
        <f>INDEX('Job Descriptions'!$B$2:$B$6,MATCH(C138,'Job Descriptions'!$A$2:$A$6,0))</f>
        <v>Product Manager - Fintech</v>
      </c>
      <c r="E138" s="20">
        <v>25</v>
      </c>
      <c r="F138" s="20">
        <v>20</v>
      </c>
      <c r="G138" s="20">
        <v>0</v>
      </c>
      <c r="H138" s="20">
        <v>3</v>
      </c>
      <c r="I138" s="16">
        <f t="shared" si="20"/>
        <v>48</v>
      </c>
      <c r="J138" s="15" t="str">
        <f t="shared" si="21"/>
        <v>Not shortlisted</v>
      </c>
      <c r="K138" s="15">
        <f t="shared" si="22"/>
        <v>35</v>
      </c>
      <c r="L138" s="19" t="str">
        <f t="shared" si="23"/>
        <v/>
      </c>
      <c r="M138" s="21" t="s">
        <v>115</v>
      </c>
      <c r="N138" s="21" t="s">
        <v>409</v>
      </c>
      <c r="O138" s="21" t="s">
        <v>410</v>
      </c>
      <c r="P138" s="19" t="str">
        <f t="shared" si="24"/>
        <v>CV001|JD5</v>
      </c>
    </row>
    <row r="139" spans="1:16" ht="73.5" customHeight="1" x14ac:dyDescent="0.25">
      <c r="A139" s="19" t="s">
        <v>192</v>
      </c>
      <c r="B139" s="19" t="str">
        <f>INDEX(Resumes!$B$2:$B$101,MATCH(A139,Resumes!$A$2:$A$101,0))</f>
        <v>Riya Kaur</v>
      </c>
      <c r="C139" s="19" t="s">
        <v>346</v>
      </c>
      <c r="D139" s="19" t="str">
        <f>INDEX('Job Descriptions'!$B$2:$B$6,MATCH(C139,'Job Descriptions'!$A$2:$A$6,0))</f>
        <v>Product Manager - Fintech</v>
      </c>
      <c r="E139" s="20">
        <v>5</v>
      </c>
      <c r="F139" s="20">
        <v>25</v>
      </c>
      <c r="G139" s="20">
        <v>12</v>
      </c>
      <c r="H139" s="20">
        <v>6</v>
      </c>
      <c r="I139" s="16">
        <f t="shared" si="20"/>
        <v>48</v>
      </c>
      <c r="J139" s="15" t="str">
        <f t="shared" si="21"/>
        <v>Not shortlisted</v>
      </c>
      <c r="K139" s="15">
        <f t="shared" si="22"/>
        <v>35</v>
      </c>
      <c r="L139" s="19" t="str">
        <f t="shared" si="23"/>
        <v/>
      </c>
      <c r="M139" s="21" t="s">
        <v>347</v>
      </c>
      <c r="N139" s="21" t="s">
        <v>411</v>
      </c>
      <c r="O139" s="21" t="s">
        <v>377</v>
      </c>
      <c r="P139" s="19" t="str">
        <f t="shared" si="24"/>
        <v>CV036|JD5</v>
      </c>
    </row>
    <row r="140" spans="1:16" ht="73.5" customHeight="1" x14ac:dyDescent="0.25">
      <c r="A140" s="19" t="s">
        <v>161</v>
      </c>
      <c r="B140" s="19" t="str">
        <f>INDEX(Resumes!$B$2:$B$101,MATCH(A140,Resumes!$A$2:$A$101,0))</f>
        <v>Aarav Das</v>
      </c>
      <c r="C140" s="19" t="s">
        <v>346</v>
      </c>
      <c r="D140" s="19" t="str">
        <f>INDEX('Job Descriptions'!$B$2:$B$6,MATCH(C140,'Job Descriptions'!$A$2:$A$6,0))</f>
        <v>Product Manager - Fintech</v>
      </c>
      <c r="E140" s="20">
        <v>15</v>
      </c>
      <c r="F140" s="20">
        <v>20</v>
      </c>
      <c r="G140" s="20">
        <v>12</v>
      </c>
      <c r="H140" s="20">
        <v>0</v>
      </c>
      <c r="I140" s="16">
        <f t="shared" si="20"/>
        <v>47</v>
      </c>
      <c r="J140" s="15" t="str">
        <f t="shared" si="21"/>
        <v>Not shortlisted</v>
      </c>
      <c r="K140" s="15">
        <f t="shared" si="22"/>
        <v>37</v>
      </c>
      <c r="L140" s="19" t="str">
        <f t="shared" si="23"/>
        <v/>
      </c>
      <c r="M140" s="21" t="s">
        <v>356</v>
      </c>
      <c r="N140" s="21" t="s">
        <v>412</v>
      </c>
      <c r="O140" s="21" t="s">
        <v>413</v>
      </c>
      <c r="P140" s="19" t="str">
        <f t="shared" si="24"/>
        <v>CV015|JD5</v>
      </c>
    </row>
    <row r="141" spans="1:16" ht="73.5" customHeight="1" x14ac:dyDescent="0.25">
      <c r="A141" s="19" t="s">
        <v>300</v>
      </c>
      <c r="B141" s="19" t="str">
        <f>INDEX(Resumes!$B$2:$B$101,MATCH(A141,Resumes!$A$2:$A$101,0))</f>
        <v>Pallavi Mukherjee</v>
      </c>
      <c r="C141" s="19" t="s">
        <v>346</v>
      </c>
      <c r="D141" s="19" t="str">
        <f>INDEX('Job Descriptions'!$B$2:$B$6,MATCH(C141,'Job Descriptions'!$A$2:$A$6,0))</f>
        <v>Product Manager - Fintech</v>
      </c>
      <c r="E141" s="20">
        <v>15</v>
      </c>
      <c r="F141" s="20">
        <v>12</v>
      </c>
      <c r="G141" s="20">
        <v>16</v>
      </c>
      <c r="H141" s="20">
        <v>4</v>
      </c>
      <c r="I141" s="16">
        <f t="shared" si="20"/>
        <v>47</v>
      </c>
      <c r="J141" s="15" t="str">
        <f t="shared" si="21"/>
        <v>Not shortlisted</v>
      </c>
      <c r="K141" s="15">
        <f t="shared" si="22"/>
        <v>37</v>
      </c>
      <c r="L141" s="19" t="str">
        <f t="shared" si="23"/>
        <v/>
      </c>
      <c r="M141" s="21" t="s">
        <v>115</v>
      </c>
      <c r="N141" s="21" t="s">
        <v>414</v>
      </c>
      <c r="O141" s="21" t="s">
        <v>415</v>
      </c>
      <c r="P141" s="19" t="str">
        <f t="shared" si="24"/>
        <v>CV047|JD5</v>
      </c>
    </row>
    <row r="142" spans="1:16" ht="73.5" customHeight="1" x14ac:dyDescent="0.25">
      <c r="A142" s="19" t="s">
        <v>108</v>
      </c>
      <c r="B142" s="19" t="str">
        <f>INDEX(Resumes!$B$2:$B$101,MATCH(A142,Resumes!$A$2:$A$101,0))</f>
        <v>Joseph Jadhav</v>
      </c>
      <c r="C142" s="19" t="s">
        <v>346</v>
      </c>
      <c r="D142" s="19" t="str">
        <f>INDEX('Job Descriptions'!$B$2:$B$6,MATCH(C142,'Job Descriptions'!$A$2:$A$6,0))</f>
        <v>Product Manager - Fintech</v>
      </c>
      <c r="E142" s="20">
        <v>5</v>
      </c>
      <c r="F142" s="20">
        <v>20</v>
      </c>
      <c r="G142" s="20">
        <v>16</v>
      </c>
      <c r="H142" s="20">
        <v>6</v>
      </c>
      <c r="I142" s="16">
        <f t="shared" si="20"/>
        <v>47</v>
      </c>
      <c r="J142" s="15" t="str">
        <f t="shared" si="21"/>
        <v>Not shortlisted</v>
      </c>
      <c r="K142" s="15">
        <f t="shared" si="22"/>
        <v>37</v>
      </c>
      <c r="L142" s="19" t="str">
        <f t="shared" si="23"/>
        <v/>
      </c>
      <c r="M142" s="21" t="s">
        <v>416</v>
      </c>
      <c r="N142" s="21" t="s">
        <v>417</v>
      </c>
      <c r="O142" s="21" t="s">
        <v>418</v>
      </c>
      <c r="P142" s="19" t="str">
        <f t="shared" si="24"/>
        <v>CV055|JD5</v>
      </c>
    </row>
    <row r="143" spans="1:16" ht="73.5" customHeight="1" x14ac:dyDescent="0.25">
      <c r="A143" s="19" t="s">
        <v>229</v>
      </c>
      <c r="B143" s="19" t="str">
        <f>INDEX(Resumes!$B$2:$B$101,MATCH(A143,Resumes!$A$2:$A$101,0))</f>
        <v>Rajesh Shinde</v>
      </c>
      <c r="C143" s="19" t="s">
        <v>346</v>
      </c>
      <c r="D143" s="19" t="str">
        <f>INDEX('Job Descriptions'!$B$2:$B$6,MATCH(C143,'Job Descriptions'!$A$2:$A$6,0))</f>
        <v>Product Manager - Fintech</v>
      </c>
      <c r="E143" s="20">
        <v>5</v>
      </c>
      <c r="F143" s="20">
        <v>25</v>
      </c>
      <c r="G143" s="20">
        <v>16</v>
      </c>
      <c r="H143" s="20">
        <v>0</v>
      </c>
      <c r="I143" s="16">
        <f t="shared" si="20"/>
        <v>46</v>
      </c>
      <c r="J143" s="15" t="str">
        <f t="shared" si="21"/>
        <v>Not shortlisted</v>
      </c>
      <c r="K143" s="15">
        <f t="shared" si="22"/>
        <v>40</v>
      </c>
      <c r="L143" s="19" t="str">
        <f t="shared" si="23"/>
        <v/>
      </c>
      <c r="M143" s="21" t="s">
        <v>115</v>
      </c>
      <c r="N143" s="21" t="s">
        <v>419</v>
      </c>
      <c r="O143" s="21" t="s">
        <v>406</v>
      </c>
      <c r="P143" s="19" t="str">
        <f t="shared" si="24"/>
        <v>CV053|JD5</v>
      </c>
    </row>
    <row r="144" spans="1:16" ht="73.5" customHeight="1" x14ac:dyDescent="0.25">
      <c r="A144" s="19" t="s">
        <v>131</v>
      </c>
      <c r="B144" s="19" t="str">
        <f>INDEX(Resumes!$B$2:$B$101,MATCH(A144,Resumes!$A$2:$A$101,0))</f>
        <v>Farhan Patil</v>
      </c>
      <c r="C144" s="19" t="s">
        <v>346</v>
      </c>
      <c r="D144" s="19" t="str">
        <f>INDEX('Job Descriptions'!$B$2:$B$6,MATCH(C144,'Job Descriptions'!$A$2:$A$6,0))</f>
        <v>Product Manager - Fintech</v>
      </c>
      <c r="E144" s="20">
        <v>5</v>
      </c>
      <c r="F144" s="20">
        <v>25</v>
      </c>
      <c r="G144" s="20">
        <v>8</v>
      </c>
      <c r="H144" s="20">
        <v>7</v>
      </c>
      <c r="I144" s="16">
        <f t="shared" si="20"/>
        <v>45</v>
      </c>
      <c r="J144" s="15" t="str">
        <f t="shared" si="21"/>
        <v>Not shortlisted</v>
      </c>
      <c r="K144" s="15">
        <f t="shared" si="22"/>
        <v>41</v>
      </c>
      <c r="L144" s="19" t="str">
        <f t="shared" si="23"/>
        <v/>
      </c>
      <c r="M144" s="21" t="s">
        <v>115</v>
      </c>
      <c r="N144" s="21" t="s">
        <v>420</v>
      </c>
      <c r="O144" s="21" t="s">
        <v>421</v>
      </c>
      <c r="P144" s="19" t="str">
        <f t="shared" si="24"/>
        <v>CV005|JD5</v>
      </c>
    </row>
    <row r="145" spans="1:16" ht="73.5" customHeight="1" x14ac:dyDescent="0.25">
      <c r="A145" s="19" t="s">
        <v>257</v>
      </c>
      <c r="B145" s="19" t="str">
        <f>INDEX(Resumes!$B$2:$B$101,MATCH(A145,Resumes!$A$2:$A$101,0))</f>
        <v>Swati Singh</v>
      </c>
      <c r="C145" s="19" t="s">
        <v>346</v>
      </c>
      <c r="D145" s="19" t="str">
        <f>INDEX('Job Descriptions'!$B$2:$B$6,MATCH(C145,'Job Descriptions'!$A$2:$A$6,0))</f>
        <v>Product Manager - Fintech</v>
      </c>
      <c r="E145" s="20">
        <v>5</v>
      </c>
      <c r="F145" s="20">
        <v>25</v>
      </c>
      <c r="G145" s="20">
        <v>8</v>
      </c>
      <c r="H145" s="20">
        <v>7</v>
      </c>
      <c r="I145" s="16">
        <f t="shared" si="20"/>
        <v>45</v>
      </c>
      <c r="J145" s="15" t="str">
        <f t="shared" si="21"/>
        <v>Not shortlisted</v>
      </c>
      <c r="K145" s="15">
        <f t="shared" si="22"/>
        <v>41</v>
      </c>
      <c r="L145" s="19" t="str">
        <f t="shared" si="23"/>
        <v/>
      </c>
      <c r="M145" s="21" t="s">
        <v>115</v>
      </c>
      <c r="N145" s="21" t="s">
        <v>422</v>
      </c>
      <c r="O145" s="21" t="s">
        <v>392</v>
      </c>
      <c r="P145" s="19" t="str">
        <f t="shared" si="24"/>
        <v>CV014|JD5</v>
      </c>
    </row>
    <row r="146" spans="1:16" ht="73.5" customHeight="1" x14ac:dyDescent="0.25">
      <c r="A146" s="19" t="s">
        <v>263</v>
      </c>
      <c r="B146" s="19" t="str">
        <f>INDEX(Resumes!$B$2:$B$101,MATCH(A146,Resumes!$A$2:$A$101,0))</f>
        <v>Gurpreet D'Souza</v>
      </c>
      <c r="C146" s="19" t="s">
        <v>346</v>
      </c>
      <c r="D146" s="19" t="str">
        <f>INDEX('Job Descriptions'!$B$2:$B$6,MATCH(C146,'Job Descriptions'!$A$2:$A$6,0))</f>
        <v>Product Manager - Fintech</v>
      </c>
      <c r="E146" s="20">
        <v>5</v>
      </c>
      <c r="F146" s="20">
        <v>25</v>
      </c>
      <c r="G146" s="20">
        <v>8</v>
      </c>
      <c r="H146" s="20">
        <v>7</v>
      </c>
      <c r="I146" s="16">
        <f t="shared" si="20"/>
        <v>45</v>
      </c>
      <c r="J146" s="15" t="str">
        <f t="shared" si="21"/>
        <v>Not shortlisted</v>
      </c>
      <c r="K146" s="15">
        <f t="shared" si="22"/>
        <v>41</v>
      </c>
      <c r="L146" s="19" t="str">
        <f t="shared" si="23"/>
        <v/>
      </c>
      <c r="M146" s="21" t="s">
        <v>115</v>
      </c>
      <c r="N146" s="21" t="s">
        <v>423</v>
      </c>
      <c r="O146" s="21" t="s">
        <v>424</v>
      </c>
      <c r="P146" s="19" t="str">
        <f t="shared" si="24"/>
        <v>CV038|JD5</v>
      </c>
    </row>
    <row r="147" spans="1:16" ht="73.5" customHeight="1" x14ac:dyDescent="0.25">
      <c r="A147" s="19" t="s">
        <v>220</v>
      </c>
      <c r="B147" s="19" t="str">
        <f>INDEX(Resumes!$B$2:$B$101,MATCH(A147,Resumes!$A$2:$A$101,0))</f>
        <v>Ritu Pawar</v>
      </c>
      <c r="C147" s="19" t="s">
        <v>346</v>
      </c>
      <c r="D147" s="19" t="str">
        <f>INDEX('Job Descriptions'!$B$2:$B$6,MATCH(C147,'Job Descriptions'!$A$2:$A$6,0))</f>
        <v>Product Manager - Fintech</v>
      </c>
      <c r="E147" s="20">
        <v>15</v>
      </c>
      <c r="F147" s="20">
        <v>12</v>
      </c>
      <c r="G147" s="20">
        <v>12</v>
      </c>
      <c r="H147" s="20">
        <v>6</v>
      </c>
      <c r="I147" s="16">
        <f t="shared" si="20"/>
        <v>45</v>
      </c>
      <c r="J147" s="15" t="str">
        <f t="shared" si="21"/>
        <v>Not shortlisted</v>
      </c>
      <c r="K147" s="15">
        <f t="shared" si="22"/>
        <v>41</v>
      </c>
      <c r="L147" s="19" t="str">
        <f t="shared" si="23"/>
        <v/>
      </c>
      <c r="M147" s="21" t="s">
        <v>356</v>
      </c>
      <c r="N147" s="21" t="s">
        <v>425</v>
      </c>
      <c r="O147" s="21" t="s">
        <v>426</v>
      </c>
      <c r="P147" s="19" t="str">
        <f t="shared" si="24"/>
        <v>CV058|JD5</v>
      </c>
    </row>
    <row r="148" spans="1:16" ht="73.5" customHeight="1" x14ac:dyDescent="0.25">
      <c r="A148" s="19" t="s">
        <v>150</v>
      </c>
      <c r="B148" s="19" t="str">
        <f>INDEX(Resumes!$B$2:$B$101,MATCH(A148,Resumes!$A$2:$A$101,0))</f>
        <v>Isha Pillai</v>
      </c>
      <c r="C148" s="19" t="s">
        <v>346</v>
      </c>
      <c r="D148" s="19" t="str">
        <f>INDEX('Job Descriptions'!$B$2:$B$6,MATCH(C148,'Job Descriptions'!$A$2:$A$6,0))</f>
        <v>Product Manager - Fintech</v>
      </c>
      <c r="E148" s="20">
        <v>15</v>
      </c>
      <c r="F148" s="20">
        <v>15</v>
      </c>
      <c r="G148" s="20">
        <v>8</v>
      </c>
      <c r="H148" s="20">
        <v>6</v>
      </c>
      <c r="I148" s="16">
        <f t="shared" si="20"/>
        <v>44</v>
      </c>
      <c r="J148" s="15" t="str">
        <f t="shared" si="21"/>
        <v>Not shortlisted</v>
      </c>
      <c r="K148" s="15">
        <f t="shared" si="22"/>
        <v>45</v>
      </c>
      <c r="L148" s="19" t="str">
        <f t="shared" si="23"/>
        <v/>
      </c>
      <c r="M148" s="21" t="s">
        <v>115</v>
      </c>
      <c r="N148" s="21" t="s">
        <v>427</v>
      </c>
      <c r="O148" s="21" t="s">
        <v>428</v>
      </c>
      <c r="P148" s="19" t="str">
        <f t="shared" si="24"/>
        <v>CV032|JD5</v>
      </c>
    </row>
    <row r="149" spans="1:16" ht="73.5" customHeight="1" x14ac:dyDescent="0.25">
      <c r="A149" s="19" t="s">
        <v>204</v>
      </c>
      <c r="B149" s="19" t="str">
        <f>INDEX(Resumes!$B$2:$B$101,MATCH(A149,Resumes!$A$2:$A$101,0))</f>
        <v>Aisha Gupta</v>
      </c>
      <c r="C149" s="19" t="s">
        <v>346</v>
      </c>
      <c r="D149" s="19" t="str">
        <f>INDEX('Job Descriptions'!$B$2:$B$6,MATCH(C149,'Job Descriptions'!$A$2:$A$6,0))</f>
        <v>Product Manager - Fintech</v>
      </c>
      <c r="E149" s="20">
        <v>5</v>
      </c>
      <c r="F149" s="20">
        <v>20</v>
      </c>
      <c r="G149" s="20">
        <v>16</v>
      </c>
      <c r="H149" s="20">
        <v>3</v>
      </c>
      <c r="I149" s="16">
        <f t="shared" si="20"/>
        <v>44</v>
      </c>
      <c r="J149" s="15" t="str">
        <f t="shared" si="21"/>
        <v>Not shortlisted</v>
      </c>
      <c r="K149" s="15">
        <f t="shared" si="22"/>
        <v>45</v>
      </c>
      <c r="L149" s="19" t="str">
        <f t="shared" si="23"/>
        <v/>
      </c>
      <c r="M149" s="21" t="s">
        <v>115</v>
      </c>
      <c r="N149" s="21" t="s">
        <v>429</v>
      </c>
      <c r="O149" s="21" t="s">
        <v>430</v>
      </c>
      <c r="P149" s="19" t="str">
        <f t="shared" si="24"/>
        <v>CV092|JD5</v>
      </c>
    </row>
    <row r="150" spans="1:16" ht="73.5" customHeight="1" x14ac:dyDescent="0.25">
      <c r="A150" s="19" t="s">
        <v>105</v>
      </c>
      <c r="B150" s="19" t="str">
        <f>INDEX(Resumes!$B$2:$B$101,MATCH(A150,Resumes!$A$2:$A$101,0))</f>
        <v>Kavya Verma</v>
      </c>
      <c r="C150" s="19" t="s">
        <v>346</v>
      </c>
      <c r="D150" s="19" t="str">
        <f>INDEX('Job Descriptions'!$B$2:$B$6,MATCH(C150,'Job Descriptions'!$A$2:$A$6,0))</f>
        <v>Product Manager - Fintech</v>
      </c>
      <c r="E150" s="20">
        <v>15</v>
      </c>
      <c r="F150" s="20">
        <v>25</v>
      </c>
      <c r="G150" s="20">
        <v>0</v>
      </c>
      <c r="H150" s="20">
        <v>3</v>
      </c>
      <c r="I150" s="16">
        <f t="shared" si="20"/>
        <v>43</v>
      </c>
      <c r="J150" s="15" t="str">
        <f t="shared" si="21"/>
        <v>Not shortlisted</v>
      </c>
      <c r="K150" s="15">
        <f t="shared" si="22"/>
        <v>47</v>
      </c>
      <c r="L150" s="19" t="str">
        <f t="shared" si="23"/>
        <v/>
      </c>
      <c r="M150" s="21" t="s">
        <v>115</v>
      </c>
      <c r="N150" s="21" t="s">
        <v>431</v>
      </c>
      <c r="O150" s="21" t="s">
        <v>371</v>
      </c>
      <c r="P150" s="19" t="str">
        <f t="shared" si="24"/>
        <v>CV025|JD5</v>
      </c>
    </row>
    <row r="151" spans="1:16" ht="73.5" customHeight="1" x14ac:dyDescent="0.25">
      <c r="A151" s="19" t="s">
        <v>175</v>
      </c>
      <c r="B151" s="19" t="str">
        <f>INDEX(Resumes!$B$2:$B$101,MATCH(A151,Resumes!$A$2:$A$101,0))</f>
        <v>Gurpreet Shah</v>
      </c>
      <c r="C151" s="19" t="s">
        <v>346</v>
      </c>
      <c r="D151" s="19" t="str">
        <f>INDEX('Job Descriptions'!$B$2:$B$6,MATCH(C151,'Job Descriptions'!$A$2:$A$6,0))</f>
        <v>Product Manager - Fintech</v>
      </c>
      <c r="E151" s="20">
        <v>15</v>
      </c>
      <c r="F151" s="20">
        <v>25</v>
      </c>
      <c r="G151" s="20">
        <v>0</v>
      </c>
      <c r="H151" s="20">
        <v>3</v>
      </c>
      <c r="I151" s="16">
        <f t="shared" si="20"/>
        <v>43</v>
      </c>
      <c r="J151" s="15" t="str">
        <f t="shared" si="21"/>
        <v>Not shortlisted</v>
      </c>
      <c r="K151" s="15">
        <f t="shared" si="22"/>
        <v>47</v>
      </c>
      <c r="L151" s="19" t="str">
        <f t="shared" si="23"/>
        <v/>
      </c>
      <c r="M151" s="21" t="s">
        <v>115</v>
      </c>
      <c r="N151" s="21" t="s">
        <v>432</v>
      </c>
      <c r="O151" s="21" t="s">
        <v>371</v>
      </c>
      <c r="P151" s="19" t="str">
        <f t="shared" si="24"/>
        <v>CV029|JD5</v>
      </c>
    </row>
    <row r="152" spans="1:16" ht="73.5" customHeight="1" x14ac:dyDescent="0.25">
      <c r="A152" s="19" t="s">
        <v>241</v>
      </c>
      <c r="B152" s="19" t="str">
        <f>INDEX(Resumes!$B$2:$B$101,MATCH(A152,Resumes!$A$2:$A$101,0))</f>
        <v>Diya Fernandes</v>
      </c>
      <c r="C152" s="19" t="s">
        <v>346</v>
      </c>
      <c r="D152" s="19" t="str">
        <f>INDEX('Job Descriptions'!$B$2:$B$6,MATCH(C152,'Job Descriptions'!$A$2:$A$6,0))</f>
        <v>Product Manager - Fintech</v>
      </c>
      <c r="E152" s="20">
        <v>15</v>
      </c>
      <c r="F152" s="20">
        <v>25</v>
      </c>
      <c r="G152" s="20">
        <v>0</v>
      </c>
      <c r="H152" s="20">
        <v>3</v>
      </c>
      <c r="I152" s="16">
        <f t="shared" si="20"/>
        <v>43</v>
      </c>
      <c r="J152" s="15" t="str">
        <f t="shared" si="21"/>
        <v>Not shortlisted</v>
      </c>
      <c r="K152" s="15">
        <f t="shared" si="22"/>
        <v>47</v>
      </c>
      <c r="L152" s="19" t="str">
        <f t="shared" si="23"/>
        <v/>
      </c>
      <c r="M152" s="21" t="s">
        <v>115</v>
      </c>
      <c r="N152" s="21" t="s">
        <v>433</v>
      </c>
      <c r="O152" s="21" t="s">
        <v>371</v>
      </c>
      <c r="P152" s="19" t="str">
        <f t="shared" si="24"/>
        <v>CV042|JD5</v>
      </c>
    </row>
    <row r="153" spans="1:16" ht="73.5" customHeight="1" x14ac:dyDescent="0.25">
      <c r="A153" s="19" t="s">
        <v>96</v>
      </c>
      <c r="B153" s="19" t="str">
        <f>INDEX(Resumes!$B$2:$B$101,MATCH(A153,Resumes!$A$2:$A$101,0))</f>
        <v>Shreya Shah</v>
      </c>
      <c r="C153" s="19" t="s">
        <v>346</v>
      </c>
      <c r="D153" s="19" t="str">
        <f>INDEX('Job Descriptions'!$B$2:$B$6,MATCH(C153,'Job Descriptions'!$A$2:$A$6,0))</f>
        <v>Product Manager - Fintech</v>
      </c>
      <c r="E153" s="20">
        <v>5</v>
      </c>
      <c r="F153" s="20">
        <v>25</v>
      </c>
      <c r="G153" s="20">
        <v>8</v>
      </c>
      <c r="H153" s="20">
        <v>5</v>
      </c>
      <c r="I153" s="16">
        <f t="shared" si="20"/>
        <v>43</v>
      </c>
      <c r="J153" s="15" t="str">
        <f t="shared" si="21"/>
        <v>Not shortlisted</v>
      </c>
      <c r="K153" s="15">
        <f t="shared" si="22"/>
        <v>47</v>
      </c>
      <c r="L153" s="19" t="str">
        <f t="shared" si="23"/>
        <v/>
      </c>
      <c r="M153" s="21" t="s">
        <v>115</v>
      </c>
      <c r="N153" s="21" t="s">
        <v>434</v>
      </c>
      <c r="O153" s="21" t="s">
        <v>389</v>
      </c>
      <c r="P153" s="19" t="str">
        <f t="shared" si="24"/>
        <v>CV051|JD5</v>
      </c>
    </row>
    <row r="154" spans="1:16" ht="73.5" customHeight="1" x14ac:dyDescent="0.25">
      <c r="A154" s="19" t="s">
        <v>328</v>
      </c>
      <c r="B154" s="19" t="str">
        <f>INDEX(Resumes!$B$2:$B$101,MATCH(A154,Resumes!$A$2:$A$101,0))</f>
        <v>Imran D'Souza</v>
      </c>
      <c r="C154" s="19" t="s">
        <v>346</v>
      </c>
      <c r="D154" s="19" t="str">
        <f>INDEX('Job Descriptions'!$B$2:$B$6,MATCH(C154,'Job Descriptions'!$A$2:$A$6,0))</f>
        <v>Product Manager - Fintech</v>
      </c>
      <c r="E154" s="20">
        <v>15</v>
      </c>
      <c r="F154" s="20">
        <v>12</v>
      </c>
      <c r="G154" s="20">
        <v>12</v>
      </c>
      <c r="H154" s="20">
        <v>4</v>
      </c>
      <c r="I154" s="16">
        <f t="shared" si="20"/>
        <v>43</v>
      </c>
      <c r="J154" s="15" t="str">
        <f t="shared" si="21"/>
        <v>Not shortlisted</v>
      </c>
      <c r="K154" s="15">
        <f t="shared" si="22"/>
        <v>47</v>
      </c>
      <c r="L154" s="19" t="str">
        <f t="shared" si="23"/>
        <v/>
      </c>
      <c r="M154" s="21" t="s">
        <v>347</v>
      </c>
      <c r="N154" s="21" t="s">
        <v>435</v>
      </c>
      <c r="O154" s="21" t="s">
        <v>436</v>
      </c>
      <c r="P154" s="19" t="str">
        <f t="shared" si="24"/>
        <v>CV076|JD5</v>
      </c>
    </row>
    <row r="155" spans="1:16" ht="73.5" customHeight="1" x14ac:dyDescent="0.25">
      <c r="A155" s="19" t="s">
        <v>216</v>
      </c>
      <c r="B155" s="19" t="str">
        <f>INDEX(Resumes!$B$2:$B$101,MATCH(A155,Resumes!$A$2:$A$101,0))</f>
        <v>Divya Chatterjee</v>
      </c>
      <c r="C155" s="19" t="s">
        <v>346</v>
      </c>
      <c r="D155" s="19" t="str">
        <f>INDEX('Job Descriptions'!$B$2:$B$6,MATCH(C155,'Job Descriptions'!$A$2:$A$6,0))</f>
        <v>Product Manager - Fintech</v>
      </c>
      <c r="E155" s="20">
        <v>5</v>
      </c>
      <c r="F155" s="20">
        <v>15</v>
      </c>
      <c r="G155" s="20">
        <v>16</v>
      </c>
      <c r="H155" s="20">
        <v>7</v>
      </c>
      <c r="I155" s="16">
        <f t="shared" si="20"/>
        <v>43</v>
      </c>
      <c r="J155" s="15" t="str">
        <f t="shared" si="21"/>
        <v>Not shortlisted</v>
      </c>
      <c r="K155" s="15">
        <f t="shared" si="22"/>
        <v>47</v>
      </c>
      <c r="L155" s="19" t="str">
        <f t="shared" si="23"/>
        <v/>
      </c>
      <c r="M155" s="21" t="s">
        <v>115</v>
      </c>
      <c r="N155" s="21" t="s">
        <v>437</v>
      </c>
      <c r="O155" s="21" t="s">
        <v>438</v>
      </c>
      <c r="P155" s="19" t="str">
        <f t="shared" si="24"/>
        <v>CV079|JD5</v>
      </c>
    </row>
    <row r="156" spans="1:16" ht="73.5" customHeight="1" x14ac:dyDescent="0.25">
      <c r="A156" s="19" t="s">
        <v>292</v>
      </c>
      <c r="B156" s="19" t="str">
        <f>INDEX(Resumes!$B$2:$B$101,MATCH(A156,Resumes!$A$2:$A$101,0))</f>
        <v>Neha Gupta</v>
      </c>
      <c r="C156" s="19" t="s">
        <v>346</v>
      </c>
      <c r="D156" s="19" t="str">
        <f>INDEX('Job Descriptions'!$B$2:$B$6,MATCH(C156,'Job Descriptions'!$A$2:$A$6,0))</f>
        <v>Product Manager - Fintech</v>
      </c>
      <c r="E156" s="20">
        <v>5</v>
      </c>
      <c r="F156" s="20">
        <v>25</v>
      </c>
      <c r="G156" s="20">
        <v>8</v>
      </c>
      <c r="H156" s="20">
        <v>4</v>
      </c>
      <c r="I156" s="16">
        <f t="shared" si="20"/>
        <v>42</v>
      </c>
      <c r="J156" s="15" t="str">
        <f t="shared" si="21"/>
        <v>Not shortlisted</v>
      </c>
      <c r="K156" s="15">
        <f t="shared" si="22"/>
        <v>53</v>
      </c>
      <c r="L156" s="19" t="str">
        <f t="shared" si="23"/>
        <v/>
      </c>
      <c r="M156" s="21" t="s">
        <v>115</v>
      </c>
      <c r="N156" s="21" t="s">
        <v>439</v>
      </c>
      <c r="O156" s="21" t="s">
        <v>421</v>
      </c>
      <c r="P156" s="19" t="str">
        <f t="shared" si="24"/>
        <v>CV041|JD5</v>
      </c>
    </row>
    <row r="157" spans="1:16" ht="73.5" customHeight="1" x14ac:dyDescent="0.25">
      <c r="A157" s="19" t="s">
        <v>153</v>
      </c>
      <c r="B157" s="19" t="str">
        <f>INDEX(Resumes!$B$2:$B$101,MATCH(A157,Resumes!$A$2:$A$101,0))</f>
        <v>Isha Patil</v>
      </c>
      <c r="C157" s="19" t="s">
        <v>346</v>
      </c>
      <c r="D157" s="19" t="str">
        <f>INDEX('Job Descriptions'!$B$2:$B$6,MATCH(C157,'Job Descriptions'!$A$2:$A$6,0))</f>
        <v>Product Manager - Fintech</v>
      </c>
      <c r="E157" s="20">
        <v>15</v>
      </c>
      <c r="F157" s="20">
        <v>8</v>
      </c>
      <c r="G157" s="20">
        <v>16</v>
      </c>
      <c r="H157" s="20">
        <v>3</v>
      </c>
      <c r="I157" s="16">
        <f t="shared" si="20"/>
        <v>42</v>
      </c>
      <c r="J157" s="15" t="str">
        <f t="shared" si="21"/>
        <v>Not shortlisted</v>
      </c>
      <c r="K157" s="15">
        <f t="shared" si="22"/>
        <v>53</v>
      </c>
      <c r="L157" s="19" t="str">
        <f t="shared" si="23"/>
        <v/>
      </c>
      <c r="M157" s="21" t="s">
        <v>400</v>
      </c>
      <c r="N157" s="21" t="s">
        <v>440</v>
      </c>
      <c r="O157" s="21" t="s">
        <v>441</v>
      </c>
      <c r="P157" s="19" t="str">
        <f t="shared" si="24"/>
        <v>CV043|JD5</v>
      </c>
    </row>
    <row r="158" spans="1:16" ht="73.5" customHeight="1" x14ac:dyDescent="0.25">
      <c r="A158" s="19" t="s">
        <v>259</v>
      </c>
      <c r="B158" s="19" t="str">
        <f>INDEX(Resumes!$B$2:$B$101,MATCH(A158,Resumes!$A$2:$A$101,0))</f>
        <v>Rohan Iyer</v>
      </c>
      <c r="C158" s="19" t="s">
        <v>346</v>
      </c>
      <c r="D158" s="19" t="str">
        <f>INDEX('Job Descriptions'!$B$2:$B$6,MATCH(C158,'Job Descriptions'!$A$2:$A$6,0))</f>
        <v>Product Manager - Fintech</v>
      </c>
      <c r="E158" s="20">
        <v>5</v>
      </c>
      <c r="F158" s="20">
        <v>25</v>
      </c>
      <c r="G158" s="20">
        <v>8</v>
      </c>
      <c r="H158" s="20">
        <v>3</v>
      </c>
      <c r="I158" s="16">
        <f t="shared" si="20"/>
        <v>41</v>
      </c>
      <c r="J158" s="15" t="str">
        <f t="shared" si="21"/>
        <v>Not shortlisted</v>
      </c>
      <c r="K158" s="15">
        <f t="shared" si="22"/>
        <v>55</v>
      </c>
      <c r="L158" s="19" t="str">
        <f t="shared" si="23"/>
        <v/>
      </c>
      <c r="M158" s="21" t="s">
        <v>115</v>
      </c>
      <c r="N158" s="21" t="s">
        <v>442</v>
      </c>
      <c r="O158" s="21" t="s">
        <v>424</v>
      </c>
      <c r="P158" s="19" t="str">
        <f t="shared" si="24"/>
        <v>CV027|JD5</v>
      </c>
    </row>
    <row r="159" spans="1:16" ht="73.5" customHeight="1" x14ac:dyDescent="0.25">
      <c r="A159" s="19" t="s">
        <v>320</v>
      </c>
      <c r="B159" s="19" t="str">
        <f>INDEX(Resumes!$B$2:$B$101,MATCH(A159,Resumes!$A$2:$A$101,0))</f>
        <v>Ritu Desai</v>
      </c>
      <c r="C159" s="19" t="s">
        <v>346</v>
      </c>
      <c r="D159" s="19" t="str">
        <f>INDEX('Job Descriptions'!$B$2:$B$6,MATCH(C159,'Job Descriptions'!$A$2:$A$6,0))</f>
        <v>Product Manager - Fintech</v>
      </c>
      <c r="E159" s="20">
        <v>25</v>
      </c>
      <c r="F159" s="20">
        <v>8</v>
      </c>
      <c r="G159" s="20">
        <v>8</v>
      </c>
      <c r="H159" s="20">
        <v>0</v>
      </c>
      <c r="I159" s="16">
        <f t="shared" si="20"/>
        <v>41</v>
      </c>
      <c r="J159" s="15" t="str">
        <f t="shared" si="21"/>
        <v>Not shortlisted</v>
      </c>
      <c r="K159" s="15">
        <f t="shared" si="22"/>
        <v>55</v>
      </c>
      <c r="L159" s="19" t="str">
        <f t="shared" si="23"/>
        <v/>
      </c>
      <c r="M159" s="21" t="s">
        <v>115</v>
      </c>
      <c r="N159" s="21" t="s">
        <v>443</v>
      </c>
      <c r="O159" s="21" t="s">
        <v>444</v>
      </c>
      <c r="P159" s="19" t="str">
        <f t="shared" si="24"/>
        <v>CV068|JD5</v>
      </c>
    </row>
    <row r="160" spans="1:16" ht="73.5" customHeight="1" x14ac:dyDescent="0.25">
      <c r="A160" s="19" t="s">
        <v>180</v>
      </c>
      <c r="B160" s="19" t="str">
        <f>INDEX(Resumes!$B$2:$B$101,MATCH(A160,Resumes!$A$2:$A$101,0))</f>
        <v>Gauri Banerjee</v>
      </c>
      <c r="C160" s="19" t="s">
        <v>346</v>
      </c>
      <c r="D160" s="19" t="str">
        <f>INDEX('Job Descriptions'!$B$2:$B$6,MATCH(C160,'Job Descriptions'!$A$2:$A$6,0))</f>
        <v>Product Manager - Fintech</v>
      </c>
      <c r="E160" s="20">
        <v>5</v>
      </c>
      <c r="F160" s="20">
        <v>25</v>
      </c>
      <c r="G160" s="20">
        <v>8</v>
      </c>
      <c r="H160" s="20">
        <v>3</v>
      </c>
      <c r="I160" s="16">
        <f t="shared" si="20"/>
        <v>41</v>
      </c>
      <c r="J160" s="15" t="str">
        <f t="shared" si="21"/>
        <v>Not shortlisted</v>
      </c>
      <c r="K160" s="15">
        <f t="shared" si="22"/>
        <v>55</v>
      </c>
      <c r="L160" s="19" t="str">
        <f t="shared" si="23"/>
        <v/>
      </c>
      <c r="M160" s="21" t="s">
        <v>115</v>
      </c>
      <c r="N160" s="21" t="s">
        <v>445</v>
      </c>
      <c r="O160" s="21" t="s">
        <v>421</v>
      </c>
      <c r="P160" s="19" t="str">
        <f t="shared" si="24"/>
        <v>CV070|JD5</v>
      </c>
    </row>
    <row r="161" spans="1:16" ht="73.5" customHeight="1" x14ac:dyDescent="0.25">
      <c r="A161" s="19" t="s">
        <v>334</v>
      </c>
      <c r="B161" s="19" t="str">
        <f>INDEX(Resumes!$B$2:$B$101,MATCH(A161,Resumes!$A$2:$A$101,0))</f>
        <v>Joseph Gupta</v>
      </c>
      <c r="C161" s="19" t="s">
        <v>346</v>
      </c>
      <c r="D161" s="19" t="str">
        <f>INDEX('Job Descriptions'!$B$2:$B$6,MATCH(C161,'Job Descriptions'!$A$2:$A$6,0))</f>
        <v>Product Manager - Fintech</v>
      </c>
      <c r="E161" s="20">
        <v>5</v>
      </c>
      <c r="F161" s="20">
        <v>12</v>
      </c>
      <c r="G161" s="20">
        <v>20</v>
      </c>
      <c r="H161" s="20">
        <v>4</v>
      </c>
      <c r="I161" s="16">
        <f t="shared" si="20"/>
        <v>41</v>
      </c>
      <c r="J161" s="15" t="str">
        <f t="shared" si="21"/>
        <v>Not shortlisted</v>
      </c>
      <c r="K161" s="15">
        <f t="shared" si="22"/>
        <v>55</v>
      </c>
      <c r="L161" s="19" t="str">
        <f t="shared" si="23"/>
        <v/>
      </c>
      <c r="M161" s="21" t="s">
        <v>446</v>
      </c>
      <c r="N161" s="21" t="s">
        <v>447</v>
      </c>
      <c r="O161" s="21" t="s">
        <v>448</v>
      </c>
      <c r="P161" s="19" t="str">
        <f t="shared" si="24"/>
        <v>CV074|JD5</v>
      </c>
    </row>
    <row r="162" spans="1:16" ht="73.5" customHeight="1" x14ac:dyDescent="0.25">
      <c r="A162" s="19" t="s">
        <v>125</v>
      </c>
      <c r="B162" s="19" t="str">
        <f>INDEX(Resumes!$B$2:$B$101,MATCH(A162,Resumes!$A$2:$A$101,0))</f>
        <v>Nisha Banerjee</v>
      </c>
      <c r="C162" s="19" t="s">
        <v>346</v>
      </c>
      <c r="D162" s="19" t="str">
        <f>INDEX('Job Descriptions'!$B$2:$B$6,MATCH(C162,'Job Descriptions'!$A$2:$A$6,0))</f>
        <v>Product Manager - Fintech</v>
      </c>
      <c r="E162" s="20">
        <v>5</v>
      </c>
      <c r="F162" s="20">
        <v>20</v>
      </c>
      <c r="G162" s="20">
        <v>8</v>
      </c>
      <c r="H162" s="20">
        <v>7</v>
      </c>
      <c r="I162" s="16">
        <f t="shared" si="20"/>
        <v>40</v>
      </c>
      <c r="J162" s="15" t="str">
        <f t="shared" si="21"/>
        <v>Not shortlisted</v>
      </c>
      <c r="K162" s="15">
        <f t="shared" si="22"/>
        <v>59</v>
      </c>
      <c r="L162" s="19" t="str">
        <f t="shared" si="23"/>
        <v/>
      </c>
      <c r="M162" s="21" t="s">
        <v>115</v>
      </c>
      <c r="N162" s="21" t="s">
        <v>449</v>
      </c>
      <c r="O162" s="21" t="s">
        <v>450</v>
      </c>
      <c r="P162" s="19" t="str">
        <f t="shared" si="24"/>
        <v>CV044|JD5</v>
      </c>
    </row>
    <row r="163" spans="1:16" ht="73.5" customHeight="1" x14ac:dyDescent="0.25">
      <c r="A163" s="19" t="s">
        <v>224</v>
      </c>
      <c r="B163" s="19" t="str">
        <f>INDEX(Resumes!$B$2:$B$101,MATCH(A163,Resumes!$A$2:$A$101,0))</f>
        <v>Suresh Nair</v>
      </c>
      <c r="C163" s="19" t="s">
        <v>346</v>
      </c>
      <c r="D163" s="19" t="str">
        <f>INDEX('Job Descriptions'!$B$2:$B$6,MATCH(C163,'Job Descriptions'!$A$2:$A$6,0))</f>
        <v>Product Manager - Fintech</v>
      </c>
      <c r="E163" s="20">
        <v>15</v>
      </c>
      <c r="F163" s="20">
        <v>8</v>
      </c>
      <c r="G163" s="20">
        <v>12</v>
      </c>
      <c r="H163" s="20">
        <v>5</v>
      </c>
      <c r="I163" s="16">
        <f t="shared" si="20"/>
        <v>40</v>
      </c>
      <c r="J163" s="15" t="str">
        <f t="shared" si="21"/>
        <v>Not shortlisted</v>
      </c>
      <c r="K163" s="15">
        <f t="shared" si="22"/>
        <v>59</v>
      </c>
      <c r="L163" s="19" t="str">
        <f t="shared" si="23"/>
        <v/>
      </c>
      <c r="M163" s="21" t="s">
        <v>356</v>
      </c>
      <c r="N163" s="21" t="s">
        <v>451</v>
      </c>
      <c r="O163" s="21" t="s">
        <v>452</v>
      </c>
      <c r="P163" s="19" t="str">
        <f t="shared" si="24"/>
        <v>CV069|JD5</v>
      </c>
    </row>
    <row r="164" spans="1:16" ht="73.5" customHeight="1" x14ac:dyDescent="0.25">
      <c r="A164" s="19" t="s">
        <v>206</v>
      </c>
      <c r="B164" s="19" t="str">
        <f>INDEX(Resumes!$B$2:$B$101,MATCH(A164,Resumes!$A$2:$A$101,0))</f>
        <v>Aarav Khan</v>
      </c>
      <c r="C164" s="19" t="s">
        <v>346</v>
      </c>
      <c r="D164" s="19" t="str">
        <f>INDEX('Job Descriptions'!$B$2:$B$6,MATCH(C164,'Job Descriptions'!$A$2:$A$6,0))</f>
        <v>Product Manager - Fintech</v>
      </c>
      <c r="E164" s="20">
        <v>5</v>
      </c>
      <c r="F164" s="20">
        <v>25</v>
      </c>
      <c r="G164" s="20">
        <v>4</v>
      </c>
      <c r="H164" s="20">
        <v>6</v>
      </c>
      <c r="I164" s="16">
        <f t="shared" ref="I164:I195" si="25">SUM(E164:H164)</f>
        <v>40</v>
      </c>
      <c r="J164" s="15" t="str">
        <f t="shared" ref="J164:J195" si="26">IF(AND(I164&gt;=SL_CUT,G164&gt;=SL_SKILL),"Shortlist",IF(AND(I164&gt;=RV_CUT,G164&gt;=RV_SKILL),"Review","Not shortlisted"))</f>
        <v>Not shortlisted</v>
      </c>
      <c r="K164" s="15">
        <f t="shared" ref="K164:K195" si="27">COUNTIFS($C$4:$C$203,C164,$I$4:$I$203,"&gt;"&amp;I164)+1</f>
        <v>59</v>
      </c>
      <c r="L164" s="19" t="str">
        <f t="shared" ref="L164:L195" si="28">IF(OR(AND(I164&gt;=SL_CUT,G164&lt;SL_SKILL),AND(I164&gt;=RV_CUT,G164&lt;RV_SKILL)),"Capped by minimum-skills rule","")</f>
        <v/>
      </c>
      <c r="M164" s="21" t="s">
        <v>446</v>
      </c>
      <c r="N164" s="21" t="s">
        <v>453</v>
      </c>
      <c r="O164" s="21" t="s">
        <v>454</v>
      </c>
      <c r="P164" s="19" t="str">
        <f t="shared" ref="P164:P195" si="29">A164&amp;"|"&amp;C164</f>
        <v>CV094|JD5</v>
      </c>
    </row>
    <row r="165" spans="1:16" ht="73.5" customHeight="1" x14ac:dyDescent="0.25">
      <c r="A165" s="19" t="s">
        <v>227</v>
      </c>
      <c r="B165" s="19" t="str">
        <f>INDEX(Resumes!$B$2:$B$101,MATCH(A165,Resumes!$A$2:$A$101,0))</f>
        <v>Gauri Agarwal</v>
      </c>
      <c r="C165" s="19" t="s">
        <v>346</v>
      </c>
      <c r="D165" s="19" t="str">
        <f>INDEX('Job Descriptions'!$B$2:$B$6,MATCH(C165,'Job Descriptions'!$A$2:$A$6,0))</f>
        <v>Product Manager - Fintech</v>
      </c>
      <c r="E165" s="20">
        <v>15</v>
      </c>
      <c r="F165" s="20">
        <v>20</v>
      </c>
      <c r="G165" s="20">
        <v>4</v>
      </c>
      <c r="H165" s="20">
        <v>0</v>
      </c>
      <c r="I165" s="16">
        <f t="shared" si="25"/>
        <v>39</v>
      </c>
      <c r="J165" s="15" t="str">
        <f t="shared" si="26"/>
        <v>Not shortlisted</v>
      </c>
      <c r="K165" s="15">
        <f t="shared" si="27"/>
        <v>62</v>
      </c>
      <c r="L165" s="19" t="str">
        <f t="shared" si="28"/>
        <v/>
      </c>
      <c r="M165" s="21" t="s">
        <v>356</v>
      </c>
      <c r="N165" s="21" t="s">
        <v>455</v>
      </c>
      <c r="O165" s="21" t="s">
        <v>456</v>
      </c>
      <c r="P165" s="19" t="str">
        <f t="shared" si="29"/>
        <v>CV007|JD5</v>
      </c>
    </row>
    <row r="166" spans="1:16" ht="73.5" customHeight="1" x14ac:dyDescent="0.25">
      <c r="A166" s="19" t="s">
        <v>298</v>
      </c>
      <c r="B166" s="19" t="str">
        <f>INDEX(Resumes!$B$2:$B$101,MATCH(A166,Resumes!$A$2:$A$101,0))</f>
        <v>Madhuri Agarwal</v>
      </c>
      <c r="C166" s="19" t="s">
        <v>346</v>
      </c>
      <c r="D166" s="19" t="str">
        <f>INDEX('Job Descriptions'!$B$2:$B$6,MATCH(C166,'Job Descriptions'!$A$2:$A$6,0))</f>
        <v>Product Manager - Fintech</v>
      </c>
      <c r="E166" s="20">
        <v>5</v>
      </c>
      <c r="F166" s="20">
        <v>15</v>
      </c>
      <c r="G166" s="20">
        <v>16</v>
      </c>
      <c r="H166" s="20">
        <v>3</v>
      </c>
      <c r="I166" s="16">
        <f t="shared" si="25"/>
        <v>39</v>
      </c>
      <c r="J166" s="15" t="str">
        <f t="shared" si="26"/>
        <v>Not shortlisted</v>
      </c>
      <c r="K166" s="15">
        <f t="shared" si="27"/>
        <v>62</v>
      </c>
      <c r="L166" s="19" t="str">
        <f t="shared" si="28"/>
        <v/>
      </c>
      <c r="M166" s="21" t="s">
        <v>115</v>
      </c>
      <c r="N166" s="21" t="s">
        <v>457</v>
      </c>
      <c r="O166" s="21" t="s">
        <v>458</v>
      </c>
      <c r="P166" s="19" t="str">
        <f t="shared" si="29"/>
        <v>CV010|JD5</v>
      </c>
    </row>
    <row r="167" spans="1:16" ht="73.5" customHeight="1" x14ac:dyDescent="0.25">
      <c r="A167" s="19" t="s">
        <v>315</v>
      </c>
      <c r="B167" s="19" t="str">
        <f>INDEX(Resumes!$B$2:$B$101,MATCH(A167,Resumes!$A$2:$A$101,0))</f>
        <v>Riya Menon</v>
      </c>
      <c r="C167" s="19" t="s">
        <v>346</v>
      </c>
      <c r="D167" s="19" t="str">
        <f>INDEX('Job Descriptions'!$B$2:$B$6,MATCH(C167,'Job Descriptions'!$A$2:$A$6,0))</f>
        <v>Product Manager - Fintech</v>
      </c>
      <c r="E167" s="20">
        <v>5</v>
      </c>
      <c r="F167" s="20">
        <v>20</v>
      </c>
      <c r="G167" s="20">
        <v>8</v>
      </c>
      <c r="H167" s="20">
        <v>6</v>
      </c>
      <c r="I167" s="16">
        <f t="shared" si="25"/>
        <v>39</v>
      </c>
      <c r="J167" s="15" t="str">
        <f t="shared" si="26"/>
        <v>Not shortlisted</v>
      </c>
      <c r="K167" s="15">
        <f t="shared" si="27"/>
        <v>62</v>
      </c>
      <c r="L167" s="19" t="str">
        <f t="shared" si="28"/>
        <v/>
      </c>
      <c r="M167" s="21" t="s">
        <v>115</v>
      </c>
      <c r="N167" s="21" t="s">
        <v>459</v>
      </c>
      <c r="O167" s="21" t="s">
        <v>460</v>
      </c>
      <c r="P167" s="19" t="str">
        <f t="shared" si="29"/>
        <v>CV017|JD5</v>
      </c>
    </row>
    <row r="168" spans="1:16" ht="73.5" customHeight="1" x14ac:dyDescent="0.25">
      <c r="A168" s="19" t="s">
        <v>250</v>
      </c>
      <c r="B168" s="19" t="str">
        <f>INDEX(Resumes!$B$2:$B$101,MATCH(A168,Resumes!$A$2:$A$101,0))</f>
        <v>Nikhil Pillai</v>
      </c>
      <c r="C168" s="19" t="s">
        <v>346</v>
      </c>
      <c r="D168" s="19" t="str">
        <f>INDEX('Job Descriptions'!$B$2:$B$6,MATCH(C168,'Job Descriptions'!$A$2:$A$6,0))</f>
        <v>Product Manager - Fintech</v>
      </c>
      <c r="E168" s="20">
        <v>15</v>
      </c>
      <c r="F168" s="20">
        <v>12</v>
      </c>
      <c r="G168" s="20">
        <v>8</v>
      </c>
      <c r="H168" s="20">
        <v>3</v>
      </c>
      <c r="I168" s="16">
        <f t="shared" si="25"/>
        <v>38</v>
      </c>
      <c r="J168" s="15" t="str">
        <f t="shared" si="26"/>
        <v>Not shortlisted</v>
      </c>
      <c r="K168" s="15">
        <f t="shared" si="27"/>
        <v>65</v>
      </c>
      <c r="L168" s="19" t="str">
        <f t="shared" si="28"/>
        <v/>
      </c>
      <c r="M168" s="21" t="s">
        <v>115</v>
      </c>
      <c r="N168" s="21" t="s">
        <v>461</v>
      </c>
      <c r="O168" s="21" t="s">
        <v>450</v>
      </c>
      <c r="P168" s="19" t="str">
        <f t="shared" si="29"/>
        <v>CV075|JD5</v>
      </c>
    </row>
    <row r="169" spans="1:16" ht="73.5" customHeight="1" x14ac:dyDescent="0.25">
      <c r="A169" s="19" t="s">
        <v>322</v>
      </c>
      <c r="B169" s="19" t="str">
        <f>INDEX(Resumes!$B$2:$B$101,MATCH(A169,Resumes!$A$2:$A$101,0))</f>
        <v>Swati Das</v>
      </c>
      <c r="C169" s="19" t="s">
        <v>346</v>
      </c>
      <c r="D169" s="19" t="str">
        <f>INDEX('Job Descriptions'!$B$2:$B$6,MATCH(C169,'Job Descriptions'!$A$2:$A$6,0))</f>
        <v>Product Manager - Fintech</v>
      </c>
      <c r="E169" s="20">
        <v>5</v>
      </c>
      <c r="F169" s="20">
        <v>20</v>
      </c>
      <c r="G169" s="20">
        <v>8</v>
      </c>
      <c r="H169" s="20">
        <v>4</v>
      </c>
      <c r="I169" s="16">
        <f t="shared" si="25"/>
        <v>37</v>
      </c>
      <c r="J169" s="15" t="str">
        <f t="shared" si="26"/>
        <v>Not shortlisted</v>
      </c>
      <c r="K169" s="15">
        <f t="shared" si="27"/>
        <v>66</v>
      </c>
      <c r="L169" s="19" t="str">
        <f t="shared" si="28"/>
        <v/>
      </c>
      <c r="M169" s="21" t="s">
        <v>115</v>
      </c>
      <c r="N169" s="21" t="s">
        <v>462</v>
      </c>
      <c r="O169" s="21" t="s">
        <v>460</v>
      </c>
      <c r="P169" s="19" t="str">
        <f t="shared" si="29"/>
        <v>CV002|JD5</v>
      </c>
    </row>
    <row r="170" spans="1:16" ht="73.5" customHeight="1" x14ac:dyDescent="0.25">
      <c r="A170" s="19" t="s">
        <v>286</v>
      </c>
      <c r="B170" s="19" t="str">
        <f>INDEX(Resumes!$B$2:$B$101,MATCH(A170,Resumes!$A$2:$A$101,0))</f>
        <v>Manish Iyer</v>
      </c>
      <c r="C170" s="19" t="s">
        <v>346</v>
      </c>
      <c r="D170" s="19" t="str">
        <f>INDEX('Job Descriptions'!$B$2:$B$6,MATCH(C170,'Job Descriptions'!$A$2:$A$6,0))</f>
        <v>Product Manager - Fintech</v>
      </c>
      <c r="E170" s="20">
        <v>5</v>
      </c>
      <c r="F170" s="20">
        <v>20</v>
      </c>
      <c r="G170" s="20">
        <v>8</v>
      </c>
      <c r="H170" s="20">
        <v>4</v>
      </c>
      <c r="I170" s="16">
        <f t="shared" si="25"/>
        <v>37</v>
      </c>
      <c r="J170" s="15" t="str">
        <f t="shared" si="26"/>
        <v>Not shortlisted</v>
      </c>
      <c r="K170" s="15">
        <f t="shared" si="27"/>
        <v>66</v>
      </c>
      <c r="L170" s="19" t="str">
        <f t="shared" si="28"/>
        <v/>
      </c>
      <c r="M170" s="21" t="s">
        <v>115</v>
      </c>
      <c r="N170" s="21" t="s">
        <v>463</v>
      </c>
      <c r="O170" s="21" t="s">
        <v>460</v>
      </c>
      <c r="P170" s="19" t="str">
        <f t="shared" si="29"/>
        <v>CV097|JD5</v>
      </c>
    </row>
    <row r="171" spans="1:16" ht="73.5" customHeight="1" x14ac:dyDescent="0.25">
      <c r="A171" s="19" t="s">
        <v>338</v>
      </c>
      <c r="B171" s="19" t="str">
        <f>INDEX(Resumes!$B$2:$B$101,MATCH(A171,Resumes!$A$2:$A$101,0))</f>
        <v>Divya Agarwal</v>
      </c>
      <c r="C171" s="19" t="s">
        <v>346</v>
      </c>
      <c r="D171" s="19" t="str">
        <f>INDEX('Job Descriptions'!$B$2:$B$6,MATCH(C171,'Job Descriptions'!$A$2:$A$6,0))</f>
        <v>Product Manager - Fintech</v>
      </c>
      <c r="E171" s="20">
        <v>5</v>
      </c>
      <c r="F171" s="20">
        <v>20</v>
      </c>
      <c r="G171" s="20">
        <v>8</v>
      </c>
      <c r="H171" s="20">
        <v>3</v>
      </c>
      <c r="I171" s="16">
        <f t="shared" si="25"/>
        <v>36</v>
      </c>
      <c r="J171" s="15" t="str">
        <f t="shared" si="26"/>
        <v>Not shortlisted</v>
      </c>
      <c r="K171" s="15">
        <f t="shared" si="27"/>
        <v>68</v>
      </c>
      <c r="L171" s="19" t="str">
        <f t="shared" si="28"/>
        <v/>
      </c>
      <c r="M171" s="21" t="s">
        <v>115</v>
      </c>
      <c r="N171" s="21" t="s">
        <v>464</v>
      </c>
      <c r="O171" s="21" t="s">
        <v>460</v>
      </c>
      <c r="P171" s="19" t="str">
        <f t="shared" si="29"/>
        <v>CV037|JD5</v>
      </c>
    </row>
    <row r="172" spans="1:16" ht="73.5" customHeight="1" x14ac:dyDescent="0.25">
      <c r="A172" s="19" t="s">
        <v>246</v>
      </c>
      <c r="B172" s="19" t="str">
        <f>INDEX(Resumes!$B$2:$B$101,MATCH(A172,Resumes!$A$2:$A$101,0))</f>
        <v>Siddharth Gupta</v>
      </c>
      <c r="C172" s="19" t="s">
        <v>346</v>
      </c>
      <c r="D172" s="19" t="str">
        <f>INDEX('Job Descriptions'!$B$2:$B$6,MATCH(C172,'Job Descriptions'!$A$2:$A$6,0))</f>
        <v>Product Manager - Fintech</v>
      </c>
      <c r="E172" s="20">
        <v>5</v>
      </c>
      <c r="F172" s="20">
        <v>8</v>
      </c>
      <c r="G172" s="20">
        <v>16</v>
      </c>
      <c r="H172" s="20">
        <v>7</v>
      </c>
      <c r="I172" s="16">
        <f t="shared" si="25"/>
        <v>36</v>
      </c>
      <c r="J172" s="15" t="str">
        <f t="shared" si="26"/>
        <v>Not shortlisted</v>
      </c>
      <c r="K172" s="15">
        <f t="shared" si="27"/>
        <v>68</v>
      </c>
      <c r="L172" s="19" t="str">
        <f t="shared" si="28"/>
        <v/>
      </c>
      <c r="M172" s="21" t="s">
        <v>115</v>
      </c>
      <c r="N172" s="21" t="s">
        <v>465</v>
      </c>
      <c r="O172" s="21" t="s">
        <v>466</v>
      </c>
      <c r="P172" s="19" t="str">
        <f t="shared" si="29"/>
        <v>CV050|JD5</v>
      </c>
    </row>
    <row r="173" spans="1:16" ht="73.5" customHeight="1" x14ac:dyDescent="0.25">
      <c r="A173" s="19" t="s">
        <v>142</v>
      </c>
      <c r="B173" s="19" t="str">
        <f>INDEX(Resumes!$B$2:$B$101,MATCH(A173,Resumes!$A$2:$A$101,0))</f>
        <v>Aditya Desai</v>
      </c>
      <c r="C173" s="19" t="s">
        <v>346</v>
      </c>
      <c r="D173" s="19" t="str">
        <f>INDEX('Job Descriptions'!$B$2:$B$6,MATCH(C173,'Job Descriptions'!$A$2:$A$6,0))</f>
        <v>Product Manager - Fintech</v>
      </c>
      <c r="E173" s="20">
        <v>15</v>
      </c>
      <c r="F173" s="20">
        <v>12</v>
      </c>
      <c r="G173" s="20">
        <v>4</v>
      </c>
      <c r="H173" s="20">
        <v>5</v>
      </c>
      <c r="I173" s="16">
        <f t="shared" si="25"/>
        <v>36</v>
      </c>
      <c r="J173" s="15" t="str">
        <f t="shared" si="26"/>
        <v>Not shortlisted</v>
      </c>
      <c r="K173" s="15">
        <f t="shared" si="27"/>
        <v>68</v>
      </c>
      <c r="L173" s="19" t="str">
        <f t="shared" si="28"/>
        <v/>
      </c>
      <c r="M173" s="21" t="s">
        <v>356</v>
      </c>
      <c r="N173" s="21" t="s">
        <v>467</v>
      </c>
      <c r="O173" s="21" t="s">
        <v>456</v>
      </c>
      <c r="P173" s="19" t="str">
        <f t="shared" si="29"/>
        <v>CV083|JD5</v>
      </c>
    </row>
    <row r="174" spans="1:16" ht="73.5" customHeight="1" x14ac:dyDescent="0.25">
      <c r="A174" s="19" t="s">
        <v>254</v>
      </c>
      <c r="B174" s="19" t="str">
        <f>INDEX(Resumes!$B$2:$B$101,MATCH(A174,Resumes!$A$2:$A$101,0))</f>
        <v>Gauri Chatterjee</v>
      </c>
      <c r="C174" s="19" t="s">
        <v>346</v>
      </c>
      <c r="D174" s="19" t="str">
        <f>INDEX('Job Descriptions'!$B$2:$B$6,MATCH(C174,'Job Descriptions'!$A$2:$A$6,0))</f>
        <v>Product Manager - Fintech</v>
      </c>
      <c r="E174" s="20">
        <v>25</v>
      </c>
      <c r="F174" s="20">
        <v>0</v>
      </c>
      <c r="G174" s="20">
        <v>4</v>
      </c>
      <c r="H174" s="20">
        <v>6</v>
      </c>
      <c r="I174" s="16">
        <f t="shared" si="25"/>
        <v>35</v>
      </c>
      <c r="J174" s="15" t="str">
        <f t="shared" si="26"/>
        <v>Not shortlisted</v>
      </c>
      <c r="K174" s="15">
        <f t="shared" si="27"/>
        <v>71</v>
      </c>
      <c r="L174" s="19" t="str">
        <f t="shared" si="28"/>
        <v/>
      </c>
      <c r="M174" s="21" t="s">
        <v>347</v>
      </c>
      <c r="N174" s="21" t="s">
        <v>468</v>
      </c>
      <c r="O174" s="21" t="s">
        <v>469</v>
      </c>
      <c r="P174" s="19" t="str">
        <f t="shared" si="29"/>
        <v>CV012|JD5</v>
      </c>
    </row>
    <row r="175" spans="1:16" ht="73.5" customHeight="1" x14ac:dyDescent="0.25">
      <c r="A175" s="19" t="s">
        <v>208</v>
      </c>
      <c r="B175" s="19" t="str">
        <f>INDEX(Resumes!$B$2:$B$101,MATCH(A175,Resumes!$A$2:$A$101,0))</f>
        <v>Pranav Chatterjee</v>
      </c>
      <c r="C175" s="19" t="s">
        <v>346</v>
      </c>
      <c r="D175" s="19" t="str">
        <f>INDEX('Job Descriptions'!$B$2:$B$6,MATCH(C175,'Job Descriptions'!$A$2:$A$6,0))</f>
        <v>Product Manager - Fintech</v>
      </c>
      <c r="E175" s="20">
        <v>5</v>
      </c>
      <c r="F175" s="20">
        <v>15</v>
      </c>
      <c r="G175" s="20">
        <v>8</v>
      </c>
      <c r="H175" s="20">
        <v>7</v>
      </c>
      <c r="I175" s="16">
        <f t="shared" si="25"/>
        <v>35</v>
      </c>
      <c r="J175" s="15" t="str">
        <f t="shared" si="26"/>
        <v>Not shortlisted</v>
      </c>
      <c r="K175" s="15">
        <f t="shared" si="27"/>
        <v>71</v>
      </c>
      <c r="L175" s="19" t="str">
        <f t="shared" si="28"/>
        <v/>
      </c>
      <c r="M175" s="21" t="s">
        <v>115</v>
      </c>
      <c r="N175" s="21" t="s">
        <v>470</v>
      </c>
      <c r="O175" s="21" t="s">
        <v>444</v>
      </c>
      <c r="P175" s="19" t="str">
        <f t="shared" si="29"/>
        <v>CV020|JD5</v>
      </c>
    </row>
    <row r="176" spans="1:16" ht="73.5" customHeight="1" x14ac:dyDescent="0.25">
      <c r="A176" s="19" t="s">
        <v>324</v>
      </c>
      <c r="B176" s="19" t="str">
        <f>INDEX(Resumes!$B$2:$B$101,MATCH(A176,Resumes!$A$2:$A$101,0))</f>
        <v>Vikram Chatterjee</v>
      </c>
      <c r="C176" s="19" t="s">
        <v>346</v>
      </c>
      <c r="D176" s="19" t="str">
        <f>INDEX('Job Descriptions'!$B$2:$B$6,MATCH(C176,'Job Descriptions'!$A$2:$A$6,0))</f>
        <v>Product Manager - Fintech</v>
      </c>
      <c r="E176" s="20">
        <v>15</v>
      </c>
      <c r="F176" s="20">
        <v>12</v>
      </c>
      <c r="G176" s="20">
        <v>8</v>
      </c>
      <c r="H176" s="20">
        <v>0</v>
      </c>
      <c r="I176" s="16">
        <f t="shared" si="25"/>
        <v>35</v>
      </c>
      <c r="J176" s="15" t="str">
        <f t="shared" si="26"/>
        <v>Not shortlisted</v>
      </c>
      <c r="K176" s="15">
        <f t="shared" si="27"/>
        <v>71</v>
      </c>
      <c r="L176" s="19" t="str">
        <f t="shared" si="28"/>
        <v/>
      </c>
      <c r="M176" s="21" t="s">
        <v>115</v>
      </c>
      <c r="N176" s="21" t="s">
        <v>471</v>
      </c>
      <c r="O176" s="21" t="s">
        <v>460</v>
      </c>
      <c r="P176" s="19" t="str">
        <f t="shared" si="29"/>
        <v>CV026|JD5</v>
      </c>
    </row>
    <row r="177" spans="1:16" ht="73.5" customHeight="1" x14ac:dyDescent="0.25">
      <c r="A177" s="19" t="s">
        <v>340</v>
      </c>
      <c r="B177" s="19" t="str">
        <f>INDEX(Resumes!$B$2:$B$101,MATCH(A177,Resumes!$A$2:$A$101,0))</f>
        <v>Deepak Iyer</v>
      </c>
      <c r="C177" s="19" t="s">
        <v>346</v>
      </c>
      <c r="D177" s="19" t="str">
        <f>INDEX('Job Descriptions'!$B$2:$B$6,MATCH(C177,'Job Descriptions'!$A$2:$A$6,0))</f>
        <v>Product Manager - Fintech</v>
      </c>
      <c r="E177" s="20">
        <v>15</v>
      </c>
      <c r="F177" s="20">
        <v>0</v>
      </c>
      <c r="G177" s="20">
        <v>16</v>
      </c>
      <c r="H177" s="20">
        <v>4</v>
      </c>
      <c r="I177" s="16">
        <f t="shared" si="25"/>
        <v>35</v>
      </c>
      <c r="J177" s="15" t="str">
        <f t="shared" si="26"/>
        <v>Not shortlisted</v>
      </c>
      <c r="K177" s="15">
        <f t="shared" si="27"/>
        <v>71</v>
      </c>
      <c r="L177" s="19" t="str">
        <f t="shared" si="28"/>
        <v/>
      </c>
      <c r="M177" s="21" t="s">
        <v>115</v>
      </c>
      <c r="N177" s="21" t="s">
        <v>472</v>
      </c>
      <c r="O177" s="21" t="s">
        <v>473</v>
      </c>
      <c r="P177" s="19" t="str">
        <f t="shared" si="29"/>
        <v>CV061|JD5</v>
      </c>
    </row>
    <row r="178" spans="1:16" ht="73.5" customHeight="1" x14ac:dyDescent="0.25">
      <c r="A178" s="19" t="s">
        <v>169</v>
      </c>
      <c r="B178" s="19" t="str">
        <f>INDEX(Resumes!$B$2:$B$101,MATCH(A178,Resumes!$A$2:$A$101,0))</f>
        <v>Diya Khan</v>
      </c>
      <c r="C178" s="19" t="s">
        <v>346</v>
      </c>
      <c r="D178" s="19" t="str">
        <f>INDEX('Job Descriptions'!$B$2:$B$6,MATCH(C178,'Job Descriptions'!$A$2:$A$6,0))</f>
        <v>Product Manager - Fintech</v>
      </c>
      <c r="E178" s="20">
        <v>15</v>
      </c>
      <c r="F178" s="20">
        <v>15</v>
      </c>
      <c r="G178" s="20">
        <v>0</v>
      </c>
      <c r="H178" s="20">
        <v>5</v>
      </c>
      <c r="I178" s="16">
        <f t="shared" si="25"/>
        <v>35</v>
      </c>
      <c r="J178" s="15" t="str">
        <f t="shared" si="26"/>
        <v>Not shortlisted</v>
      </c>
      <c r="K178" s="15">
        <f t="shared" si="27"/>
        <v>71</v>
      </c>
      <c r="L178" s="19" t="str">
        <f t="shared" si="28"/>
        <v/>
      </c>
      <c r="M178" s="21" t="s">
        <v>115</v>
      </c>
      <c r="N178" s="21" t="s">
        <v>474</v>
      </c>
      <c r="O178" s="21" t="s">
        <v>475</v>
      </c>
      <c r="P178" s="19" t="str">
        <f t="shared" si="29"/>
        <v>CV062|JD5</v>
      </c>
    </row>
    <row r="179" spans="1:16" ht="73.5" customHeight="1" x14ac:dyDescent="0.25">
      <c r="A179" s="19" t="s">
        <v>307</v>
      </c>
      <c r="B179" s="19" t="str">
        <f>INDEX(Resumes!$B$2:$B$101,MATCH(A179,Resumes!$A$2:$A$101,0))</f>
        <v>Sakshi Pawar</v>
      </c>
      <c r="C179" s="19" t="s">
        <v>346</v>
      </c>
      <c r="D179" s="19" t="str">
        <f>INDEX('Job Descriptions'!$B$2:$B$6,MATCH(C179,'Job Descriptions'!$A$2:$A$6,0))</f>
        <v>Product Manager - Fintech</v>
      </c>
      <c r="E179" s="20">
        <v>15</v>
      </c>
      <c r="F179" s="20">
        <v>8</v>
      </c>
      <c r="G179" s="20">
        <v>12</v>
      </c>
      <c r="H179" s="20">
        <v>0</v>
      </c>
      <c r="I179" s="16">
        <f t="shared" si="25"/>
        <v>35</v>
      </c>
      <c r="J179" s="15" t="str">
        <f t="shared" si="26"/>
        <v>Not shortlisted</v>
      </c>
      <c r="K179" s="15">
        <f t="shared" si="27"/>
        <v>71</v>
      </c>
      <c r="L179" s="19" t="str">
        <f t="shared" si="28"/>
        <v/>
      </c>
      <c r="M179" s="21" t="s">
        <v>446</v>
      </c>
      <c r="N179" s="21" t="s">
        <v>476</v>
      </c>
      <c r="O179" s="21" t="s">
        <v>477</v>
      </c>
      <c r="P179" s="19" t="str">
        <f t="shared" si="29"/>
        <v>CV066|JD5</v>
      </c>
    </row>
    <row r="180" spans="1:16" ht="73.5" customHeight="1" x14ac:dyDescent="0.25">
      <c r="A180" s="19" t="s">
        <v>237</v>
      </c>
      <c r="B180" s="19" t="str">
        <f>INDEX(Resumes!$B$2:$B$101,MATCH(A180,Resumes!$A$2:$A$101,0))</f>
        <v>Swati Shah</v>
      </c>
      <c r="C180" s="19" t="s">
        <v>346</v>
      </c>
      <c r="D180" s="19" t="str">
        <f>INDEX('Job Descriptions'!$B$2:$B$6,MATCH(C180,'Job Descriptions'!$A$2:$A$6,0))</f>
        <v>Product Manager - Fintech</v>
      </c>
      <c r="E180" s="20">
        <v>15</v>
      </c>
      <c r="F180" s="20">
        <v>12</v>
      </c>
      <c r="G180" s="20">
        <v>8</v>
      </c>
      <c r="H180" s="20">
        <v>0</v>
      </c>
      <c r="I180" s="16">
        <f t="shared" si="25"/>
        <v>35</v>
      </c>
      <c r="J180" s="15" t="str">
        <f t="shared" si="26"/>
        <v>Not shortlisted</v>
      </c>
      <c r="K180" s="15">
        <f t="shared" si="27"/>
        <v>71</v>
      </c>
      <c r="L180" s="19" t="str">
        <f t="shared" si="28"/>
        <v/>
      </c>
      <c r="M180" s="21" t="s">
        <v>400</v>
      </c>
      <c r="N180" s="21" t="s">
        <v>478</v>
      </c>
      <c r="O180" s="21" t="s">
        <v>479</v>
      </c>
      <c r="P180" s="19" t="str">
        <f t="shared" si="29"/>
        <v>CV085|JD5</v>
      </c>
    </row>
    <row r="181" spans="1:16" ht="73.5" customHeight="1" x14ac:dyDescent="0.25">
      <c r="A181" s="19" t="s">
        <v>128</v>
      </c>
      <c r="B181" s="19" t="str">
        <f>INDEX(Resumes!$B$2:$B$101,MATCH(A181,Resumes!$A$2:$A$101,0))</f>
        <v>Vivaan Nair</v>
      </c>
      <c r="C181" s="19" t="s">
        <v>346</v>
      </c>
      <c r="D181" s="19" t="str">
        <f>INDEX('Job Descriptions'!$B$2:$B$6,MATCH(C181,'Job Descriptions'!$A$2:$A$6,0))</f>
        <v>Product Manager - Fintech</v>
      </c>
      <c r="E181" s="20">
        <v>15</v>
      </c>
      <c r="F181" s="20">
        <v>15</v>
      </c>
      <c r="G181" s="20">
        <v>4</v>
      </c>
      <c r="H181" s="20">
        <v>0</v>
      </c>
      <c r="I181" s="16">
        <f t="shared" si="25"/>
        <v>34</v>
      </c>
      <c r="J181" s="15" t="str">
        <f t="shared" si="26"/>
        <v>Not shortlisted</v>
      </c>
      <c r="K181" s="15">
        <f t="shared" si="27"/>
        <v>78</v>
      </c>
      <c r="L181" s="19" t="str">
        <f t="shared" si="28"/>
        <v/>
      </c>
      <c r="M181" s="21" t="s">
        <v>356</v>
      </c>
      <c r="N181" s="21" t="s">
        <v>480</v>
      </c>
      <c r="O181" s="21" t="s">
        <v>481</v>
      </c>
      <c r="P181" s="19" t="str">
        <f t="shared" si="29"/>
        <v>CV096|JD5</v>
      </c>
    </row>
    <row r="182" spans="1:16" ht="73.5" customHeight="1" x14ac:dyDescent="0.25">
      <c r="A182" s="19" t="s">
        <v>183</v>
      </c>
      <c r="B182" s="19" t="str">
        <f>INDEX(Resumes!$B$2:$B$101,MATCH(A182,Resumes!$A$2:$A$101,0))</f>
        <v>Deepika Singh</v>
      </c>
      <c r="C182" s="19" t="s">
        <v>346</v>
      </c>
      <c r="D182" s="19" t="str">
        <f>INDEX('Job Descriptions'!$B$2:$B$6,MATCH(C182,'Job Descriptions'!$A$2:$A$6,0))</f>
        <v>Product Manager - Fintech</v>
      </c>
      <c r="E182" s="20">
        <v>5</v>
      </c>
      <c r="F182" s="20">
        <v>15</v>
      </c>
      <c r="G182" s="20">
        <v>8</v>
      </c>
      <c r="H182" s="20">
        <v>5</v>
      </c>
      <c r="I182" s="16">
        <f t="shared" si="25"/>
        <v>33</v>
      </c>
      <c r="J182" s="15" t="str">
        <f t="shared" si="26"/>
        <v>Not shortlisted</v>
      </c>
      <c r="K182" s="15">
        <f t="shared" si="27"/>
        <v>79</v>
      </c>
      <c r="L182" s="19" t="str">
        <f t="shared" si="28"/>
        <v/>
      </c>
      <c r="M182" s="21" t="s">
        <v>115</v>
      </c>
      <c r="N182" s="21" t="s">
        <v>482</v>
      </c>
      <c r="O182" s="21" t="s">
        <v>428</v>
      </c>
      <c r="P182" s="19" t="str">
        <f t="shared" si="29"/>
        <v>CV077|JD5</v>
      </c>
    </row>
    <row r="183" spans="1:16" ht="73.5" customHeight="1" x14ac:dyDescent="0.25">
      <c r="A183" s="19" t="s">
        <v>172</v>
      </c>
      <c r="B183" s="19" t="str">
        <f>INDEX(Resumes!$B$2:$B$101,MATCH(A183,Resumes!$A$2:$A$101,0))</f>
        <v>Lakshmi Mishra</v>
      </c>
      <c r="C183" s="19" t="s">
        <v>346</v>
      </c>
      <c r="D183" s="19" t="str">
        <f>INDEX('Job Descriptions'!$B$2:$B$6,MATCH(C183,'Job Descriptions'!$A$2:$A$6,0))</f>
        <v>Product Manager - Fintech</v>
      </c>
      <c r="E183" s="20">
        <v>5</v>
      </c>
      <c r="F183" s="20">
        <v>25</v>
      </c>
      <c r="G183" s="20">
        <v>0</v>
      </c>
      <c r="H183" s="20">
        <v>3</v>
      </c>
      <c r="I183" s="16">
        <f t="shared" si="25"/>
        <v>33</v>
      </c>
      <c r="J183" s="15" t="str">
        <f t="shared" si="26"/>
        <v>Not shortlisted</v>
      </c>
      <c r="K183" s="15">
        <f t="shared" si="27"/>
        <v>79</v>
      </c>
      <c r="L183" s="19" t="str">
        <f t="shared" si="28"/>
        <v/>
      </c>
      <c r="M183" s="21" t="s">
        <v>115</v>
      </c>
      <c r="N183" s="21" t="s">
        <v>483</v>
      </c>
      <c r="O183" s="21" t="s">
        <v>371</v>
      </c>
      <c r="P183" s="19" t="str">
        <f t="shared" si="29"/>
        <v>CV091|JD5</v>
      </c>
    </row>
    <row r="184" spans="1:16" ht="73.5" customHeight="1" x14ac:dyDescent="0.25">
      <c r="A184" s="19" t="s">
        <v>239</v>
      </c>
      <c r="B184" s="19" t="str">
        <f>INDEX(Resumes!$B$2:$B$101,MATCH(A184,Resumes!$A$2:$A$101,0))</f>
        <v>Omkar Jadhav</v>
      </c>
      <c r="C184" s="19" t="s">
        <v>346</v>
      </c>
      <c r="D184" s="19" t="str">
        <f>INDEX('Job Descriptions'!$B$2:$B$6,MATCH(C184,'Job Descriptions'!$A$2:$A$6,0))</f>
        <v>Product Manager - Fintech</v>
      </c>
      <c r="E184" s="20">
        <v>5</v>
      </c>
      <c r="F184" s="20">
        <v>15</v>
      </c>
      <c r="G184" s="20">
        <v>8</v>
      </c>
      <c r="H184" s="20">
        <v>4</v>
      </c>
      <c r="I184" s="16">
        <f t="shared" si="25"/>
        <v>32</v>
      </c>
      <c r="J184" s="15" t="str">
        <f t="shared" si="26"/>
        <v>Not shortlisted</v>
      </c>
      <c r="K184" s="15">
        <f t="shared" si="27"/>
        <v>81</v>
      </c>
      <c r="L184" s="19" t="str">
        <f t="shared" si="28"/>
        <v/>
      </c>
      <c r="M184" s="21" t="s">
        <v>115</v>
      </c>
      <c r="N184" s="21" t="s">
        <v>484</v>
      </c>
      <c r="O184" s="21" t="s">
        <v>428</v>
      </c>
      <c r="P184" s="19" t="str">
        <f t="shared" si="29"/>
        <v>CV013|JD5</v>
      </c>
    </row>
    <row r="185" spans="1:16" ht="73.5" customHeight="1" x14ac:dyDescent="0.25">
      <c r="A185" s="19" t="s">
        <v>210</v>
      </c>
      <c r="B185" s="19" t="str">
        <f>INDEX(Resumes!$B$2:$B$101,MATCH(A185,Resumes!$A$2:$A$101,0))</f>
        <v>Diya Verma</v>
      </c>
      <c r="C185" s="19" t="s">
        <v>346</v>
      </c>
      <c r="D185" s="19" t="str">
        <f>INDEX('Job Descriptions'!$B$2:$B$6,MATCH(C185,'Job Descriptions'!$A$2:$A$6,0))</f>
        <v>Product Manager - Fintech</v>
      </c>
      <c r="E185" s="20">
        <v>5</v>
      </c>
      <c r="F185" s="20">
        <v>15</v>
      </c>
      <c r="G185" s="20">
        <v>12</v>
      </c>
      <c r="H185" s="20">
        <v>0</v>
      </c>
      <c r="I185" s="16">
        <f t="shared" si="25"/>
        <v>32</v>
      </c>
      <c r="J185" s="15" t="str">
        <f t="shared" si="26"/>
        <v>Not shortlisted</v>
      </c>
      <c r="K185" s="15">
        <f t="shared" si="27"/>
        <v>81</v>
      </c>
      <c r="L185" s="19" t="str">
        <f t="shared" si="28"/>
        <v/>
      </c>
      <c r="M185" s="21" t="s">
        <v>356</v>
      </c>
      <c r="N185" s="21" t="s">
        <v>485</v>
      </c>
      <c r="O185" s="21" t="s">
        <v>452</v>
      </c>
      <c r="P185" s="19" t="str">
        <f t="shared" si="29"/>
        <v>CV030|JD5</v>
      </c>
    </row>
    <row r="186" spans="1:16" ht="73.5" customHeight="1" x14ac:dyDescent="0.25">
      <c r="A186" s="19" t="s">
        <v>167</v>
      </c>
      <c r="B186" s="19" t="str">
        <f>INDEX(Resumes!$B$2:$B$101,MATCH(A186,Resumes!$A$2:$A$101,0))</f>
        <v>Mary Mukherjee</v>
      </c>
      <c r="C186" s="19" t="s">
        <v>346</v>
      </c>
      <c r="D186" s="19" t="str">
        <f>INDEX('Job Descriptions'!$B$2:$B$6,MATCH(C186,'Job Descriptions'!$A$2:$A$6,0))</f>
        <v>Product Manager - Fintech</v>
      </c>
      <c r="E186" s="20">
        <v>5</v>
      </c>
      <c r="F186" s="20">
        <v>15</v>
      </c>
      <c r="G186" s="20">
        <v>8</v>
      </c>
      <c r="H186" s="20">
        <v>3</v>
      </c>
      <c r="I186" s="16">
        <f t="shared" si="25"/>
        <v>31</v>
      </c>
      <c r="J186" s="15" t="str">
        <f t="shared" si="26"/>
        <v>Not shortlisted</v>
      </c>
      <c r="K186" s="15">
        <f t="shared" si="27"/>
        <v>83</v>
      </c>
      <c r="L186" s="19" t="str">
        <f t="shared" si="28"/>
        <v/>
      </c>
      <c r="M186" s="21" t="s">
        <v>115</v>
      </c>
      <c r="N186" s="21" t="s">
        <v>486</v>
      </c>
      <c r="O186" s="21" t="s">
        <v>487</v>
      </c>
      <c r="P186" s="19" t="str">
        <f t="shared" si="29"/>
        <v>CV003|JD5</v>
      </c>
    </row>
    <row r="187" spans="1:16" ht="73.5" customHeight="1" x14ac:dyDescent="0.25">
      <c r="A187" s="19" t="s">
        <v>147</v>
      </c>
      <c r="B187" s="19" t="str">
        <f>INDEX(Resumes!$B$2:$B$101,MATCH(A187,Resumes!$A$2:$A$101,0))</f>
        <v>Vikram Jadhav</v>
      </c>
      <c r="C187" s="19" t="s">
        <v>346</v>
      </c>
      <c r="D187" s="19" t="str">
        <f>INDEX('Job Descriptions'!$B$2:$B$6,MATCH(C187,'Job Descriptions'!$A$2:$A$6,0))</f>
        <v>Product Manager - Fintech</v>
      </c>
      <c r="E187" s="20">
        <v>5</v>
      </c>
      <c r="F187" s="20">
        <v>20</v>
      </c>
      <c r="G187" s="20">
        <v>0</v>
      </c>
      <c r="H187" s="20">
        <v>6</v>
      </c>
      <c r="I187" s="16">
        <f t="shared" si="25"/>
        <v>31</v>
      </c>
      <c r="J187" s="15" t="str">
        <f t="shared" si="26"/>
        <v>Not shortlisted</v>
      </c>
      <c r="K187" s="15">
        <f t="shared" si="27"/>
        <v>83</v>
      </c>
      <c r="L187" s="19" t="str">
        <f t="shared" si="28"/>
        <v/>
      </c>
      <c r="M187" s="21" t="s">
        <v>115</v>
      </c>
      <c r="N187" s="21" t="s">
        <v>488</v>
      </c>
      <c r="O187" s="21" t="s">
        <v>410</v>
      </c>
      <c r="P187" s="19" t="str">
        <f t="shared" si="29"/>
        <v>CV016|JD5</v>
      </c>
    </row>
    <row r="188" spans="1:16" ht="73.5" customHeight="1" x14ac:dyDescent="0.25">
      <c r="A188" s="19" t="s">
        <v>332</v>
      </c>
      <c r="B188" s="19" t="str">
        <f>INDEX(Resumes!$B$2:$B$101,MATCH(A188,Resumes!$A$2:$A$101,0))</f>
        <v>Diya D'Souza</v>
      </c>
      <c r="C188" s="19" t="s">
        <v>346</v>
      </c>
      <c r="D188" s="19" t="str">
        <f>INDEX('Job Descriptions'!$B$2:$B$6,MATCH(C188,'Job Descriptions'!$A$2:$A$6,0))</f>
        <v>Product Manager - Fintech</v>
      </c>
      <c r="E188" s="20">
        <v>15</v>
      </c>
      <c r="F188" s="20">
        <v>8</v>
      </c>
      <c r="G188" s="20">
        <v>8</v>
      </c>
      <c r="H188" s="20">
        <v>0</v>
      </c>
      <c r="I188" s="16">
        <f t="shared" si="25"/>
        <v>31</v>
      </c>
      <c r="J188" s="15" t="str">
        <f t="shared" si="26"/>
        <v>Not shortlisted</v>
      </c>
      <c r="K188" s="15">
        <f t="shared" si="27"/>
        <v>83</v>
      </c>
      <c r="L188" s="19" t="str">
        <f t="shared" si="28"/>
        <v/>
      </c>
      <c r="M188" s="21" t="s">
        <v>115</v>
      </c>
      <c r="N188" s="21" t="s">
        <v>489</v>
      </c>
      <c r="O188" s="21" t="s">
        <v>444</v>
      </c>
      <c r="P188" s="19" t="str">
        <f t="shared" si="29"/>
        <v>CV082|JD5</v>
      </c>
    </row>
    <row r="189" spans="1:16" ht="73.5" customHeight="1" x14ac:dyDescent="0.25">
      <c r="A189" s="19" t="s">
        <v>312</v>
      </c>
      <c r="B189" s="19" t="str">
        <f>INDEX(Resumes!$B$2:$B$101,MATCH(A189,Resumes!$A$2:$A$101,0))</f>
        <v>Tushar Deshmukh</v>
      </c>
      <c r="C189" s="19" t="s">
        <v>346</v>
      </c>
      <c r="D189" s="19" t="str">
        <f>INDEX('Job Descriptions'!$B$2:$B$6,MATCH(C189,'Job Descriptions'!$A$2:$A$6,0))</f>
        <v>Product Manager - Fintech</v>
      </c>
      <c r="E189" s="20">
        <v>15</v>
      </c>
      <c r="F189" s="20">
        <v>0</v>
      </c>
      <c r="G189" s="20">
        <v>8</v>
      </c>
      <c r="H189" s="20">
        <v>7</v>
      </c>
      <c r="I189" s="16">
        <f t="shared" si="25"/>
        <v>30</v>
      </c>
      <c r="J189" s="15" t="str">
        <f t="shared" si="26"/>
        <v>Not shortlisted</v>
      </c>
      <c r="K189" s="15">
        <f t="shared" si="27"/>
        <v>86</v>
      </c>
      <c r="L189" s="19" t="str">
        <f t="shared" si="28"/>
        <v/>
      </c>
      <c r="M189" s="21" t="s">
        <v>115</v>
      </c>
      <c r="N189" s="21" t="s">
        <v>490</v>
      </c>
      <c r="O189" s="21" t="s">
        <v>487</v>
      </c>
      <c r="P189" s="19" t="str">
        <f t="shared" si="29"/>
        <v>CV031|JD5</v>
      </c>
    </row>
    <row r="190" spans="1:16" ht="73.5" customHeight="1" x14ac:dyDescent="0.25">
      <c r="A190" s="19" t="s">
        <v>187</v>
      </c>
      <c r="B190" s="19" t="str">
        <f>INDEX(Resumes!$B$2:$B$101,MATCH(A190,Resumes!$A$2:$A$101,0))</f>
        <v>Thomas Nair</v>
      </c>
      <c r="C190" s="19" t="s">
        <v>346</v>
      </c>
      <c r="D190" s="19" t="str">
        <f>INDEX('Job Descriptions'!$B$2:$B$6,MATCH(C190,'Job Descriptions'!$A$2:$A$6,0))</f>
        <v>Product Manager - Fintech</v>
      </c>
      <c r="E190" s="20">
        <v>5</v>
      </c>
      <c r="F190" s="20">
        <v>8</v>
      </c>
      <c r="G190" s="20">
        <v>12</v>
      </c>
      <c r="H190" s="20">
        <v>4</v>
      </c>
      <c r="I190" s="16">
        <f t="shared" si="25"/>
        <v>29</v>
      </c>
      <c r="J190" s="15" t="str">
        <f t="shared" si="26"/>
        <v>Not shortlisted</v>
      </c>
      <c r="K190" s="15">
        <f t="shared" si="27"/>
        <v>87</v>
      </c>
      <c r="L190" s="19" t="str">
        <f t="shared" si="28"/>
        <v/>
      </c>
      <c r="M190" s="21" t="s">
        <v>347</v>
      </c>
      <c r="N190" s="21" t="s">
        <v>491</v>
      </c>
      <c r="O190" s="21" t="s">
        <v>492</v>
      </c>
      <c r="P190" s="19" t="str">
        <f t="shared" si="29"/>
        <v>CV006|JD5</v>
      </c>
    </row>
    <row r="191" spans="1:16" ht="73.5" customHeight="1" x14ac:dyDescent="0.25">
      <c r="A191" s="19" t="s">
        <v>139</v>
      </c>
      <c r="B191" s="19" t="str">
        <f>INDEX(Resumes!$B$2:$B$101,MATCH(A191,Resumes!$A$2:$A$101,0))</f>
        <v>Gauri Kulkarni</v>
      </c>
      <c r="C191" s="19" t="s">
        <v>346</v>
      </c>
      <c r="D191" s="19" t="str">
        <f>INDEX('Job Descriptions'!$B$2:$B$6,MATCH(C191,'Job Descriptions'!$A$2:$A$6,0))</f>
        <v>Product Manager - Fintech</v>
      </c>
      <c r="E191" s="20">
        <v>5</v>
      </c>
      <c r="F191" s="20">
        <v>20</v>
      </c>
      <c r="G191" s="20">
        <v>0</v>
      </c>
      <c r="H191" s="20">
        <v>4</v>
      </c>
      <c r="I191" s="16">
        <f t="shared" si="25"/>
        <v>29</v>
      </c>
      <c r="J191" s="15" t="str">
        <f t="shared" si="26"/>
        <v>Not shortlisted</v>
      </c>
      <c r="K191" s="15">
        <f t="shared" si="27"/>
        <v>87</v>
      </c>
      <c r="L191" s="19" t="str">
        <f t="shared" si="28"/>
        <v/>
      </c>
      <c r="M191" s="21" t="s">
        <v>115</v>
      </c>
      <c r="N191" s="21" t="s">
        <v>493</v>
      </c>
      <c r="O191" s="21" t="s">
        <v>410</v>
      </c>
      <c r="P191" s="19" t="str">
        <f t="shared" si="29"/>
        <v>CV073|JD5</v>
      </c>
    </row>
    <row r="192" spans="1:16" ht="73.5" customHeight="1" x14ac:dyDescent="0.25">
      <c r="A192" s="19" t="s">
        <v>294</v>
      </c>
      <c r="B192" s="19" t="str">
        <f>INDEX(Resumes!$B$2:$B$101,MATCH(A192,Resumes!$A$2:$A$101,0))</f>
        <v>Manish Patil</v>
      </c>
      <c r="C192" s="19" t="s">
        <v>346</v>
      </c>
      <c r="D192" s="19" t="str">
        <f>INDEX('Job Descriptions'!$B$2:$B$6,MATCH(C192,'Job Descriptions'!$A$2:$A$6,0))</f>
        <v>Product Manager - Fintech</v>
      </c>
      <c r="E192" s="20">
        <v>5</v>
      </c>
      <c r="F192" s="20">
        <v>8</v>
      </c>
      <c r="G192" s="20">
        <v>16</v>
      </c>
      <c r="H192" s="20">
        <v>0</v>
      </c>
      <c r="I192" s="16">
        <f t="shared" si="25"/>
        <v>29</v>
      </c>
      <c r="J192" s="15" t="str">
        <f t="shared" si="26"/>
        <v>Not shortlisted</v>
      </c>
      <c r="K192" s="15">
        <f t="shared" si="27"/>
        <v>87</v>
      </c>
      <c r="L192" s="19" t="str">
        <f t="shared" si="28"/>
        <v/>
      </c>
      <c r="M192" s="21" t="s">
        <v>115</v>
      </c>
      <c r="N192" s="21" t="s">
        <v>494</v>
      </c>
      <c r="O192" s="21" t="s">
        <v>495</v>
      </c>
      <c r="P192" s="19" t="str">
        <f t="shared" si="29"/>
        <v>CV088|JD5</v>
      </c>
    </row>
    <row r="193" spans="1:16" ht="73.5" customHeight="1" x14ac:dyDescent="0.25">
      <c r="A193" s="19" t="s">
        <v>310</v>
      </c>
      <c r="B193" s="19" t="str">
        <f>INDEX(Resumes!$B$2:$B$101,MATCH(A193,Resumes!$A$2:$A$101,0))</f>
        <v>Harpreet Jadhav</v>
      </c>
      <c r="C193" s="19" t="s">
        <v>346</v>
      </c>
      <c r="D193" s="19" t="str">
        <f>INDEX('Job Descriptions'!$B$2:$B$6,MATCH(C193,'Job Descriptions'!$A$2:$A$6,0))</f>
        <v>Product Manager - Fintech</v>
      </c>
      <c r="E193" s="20">
        <v>5</v>
      </c>
      <c r="F193" s="20">
        <v>12</v>
      </c>
      <c r="G193" s="20">
        <v>4</v>
      </c>
      <c r="H193" s="20">
        <v>7</v>
      </c>
      <c r="I193" s="16">
        <f t="shared" si="25"/>
        <v>28</v>
      </c>
      <c r="J193" s="15" t="str">
        <f t="shared" si="26"/>
        <v>Not shortlisted</v>
      </c>
      <c r="K193" s="15">
        <f t="shared" si="27"/>
        <v>90</v>
      </c>
      <c r="L193" s="19" t="str">
        <f t="shared" si="28"/>
        <v/>
      </c>
      <c r="M193" s="21" t="s">
        <v>446</v>
      </c>
      <c r="N193" s="21" t="s">
        <v>496</v>
      </c>
      <c r="O193" s="21" t="s">
        <v>497</v>
      </c>
      <c r="P193" s="19" t="str">
        <f t="shared" si="29"/>
        <v>CV018|JD5</v>
      </c>
    </row>
    <row r="194" spans="1:16" ht="73.5" customHeight="1" x14ac:dyDescent="0.25">
      <c r="A194" s="19" t="s">
        <v>271</v>
      </c>
      <c r="B194" s="19" t="str">
        <f>INDEX(Resumes!$B$2:$B$101,MATCH(A194,Resumes!$A$2:$A$101,0))</f>
        <v>Harleen Joshi</v>
      </c>
      <c r="C194" s="19" t="s">
        <v>346</v>
      </c>
      <c r="D194" s="19" t="str">
        <f>INDEX('Job Descriptions'!$B$2:$B$6,MATCH(C194,'Job Descriptions'!$A$2:$A$6,0))</f>
        <v>Product Manager - Fintech</v>
      </c>
      <c r="E194" s="20">
        <v>15</v>
      </c>
      <c r="F194" s="20">
        <v>8</v>
      </c>
      <c r="G194" s="20">
        <v>0</v>
      </c>
      <c r="H194" s="20">
        <v>3</v>
      </c>
      <c r="I194" s="16">
        <f t="shared" si="25"/>
        <v>26</v>
      </c>
      <c r="J194" s="15" t="str">
        <f t="shared" si="26"/>
        <v>Not shortlisted</v>
      </c>
      <c r="K194" s="15">
        <f t="shared" si="27"/>
        <v>91</v>
      </c>
      <c r="L194" s="19" t="str">
        <f t="shared" si="28"/>
        <v/>
      </c>
      <c r="M194" s="21" t="s">
        <v>115</v>
      </c>
      <c r="N194" s="21" t="s">
        <v>498</v>
      </c>
      <c r="O194" s="21" t="s">
        <v>475</v>
      </c>
      <c r="P194" s="19" t="str">
        <f t="shared" si="29"/>
        <v>CV098|JD5</v>
      </c>
    </row>
    <row r="195" spans="1:16" ht="73.5" customHeight="1" x14ac:dyDescent="0.25">
      <c r="A195" s="19" t="s">
        <v>296</v>
      </c>
      <c r="B195" s="19" t="str">
        <f>INDEX(Resumes!$B$2:$B$101,MATCH(A195,Resumes!$A$2:$A$101,0))</f>
        <v>Deepak Nair</v>
      </c>
      <c r="C195" s="19" t="s">
        <v>346</v>
      </c>
      <c r="D195" s="19" t="str">
        <f>INDEX('Job Descriptions'!$B$2:$B$6,MATCH(C195,'Job Descriptions'!$A$2:$A$6,0))</f>
        <v>Product Manager - Fintech</v>
      </c>
      <c r="E195" s="20">
        <v>5</v>
      </c>
      <c r="F195" s="20">
        <v>0</v>
      </c>
      <c r="G195" s="20">
        <v>16</v>
      </c>
      <c r="H195" s="20">
        <v>4</v>
      </c>
      <c r="I195" s="16">
        <f t="shared" si="25"/>
        <v>25</v>
      </c>
      <c r="J195" s="15" t="str">
        <f t="shared" si="26"/>
        <v>Not shortlisted</v>
      </c>
      <c r="K195" s="15">
        <f t="shared" si="27"/>
        <v>92</v>
      </c>
      <c r="L195" s="19" t="str">
        <f t="shared" si="28"/>
        <v/>
      </c>
      <c r="M195" s="21" t="s">
        <v>115</v>
      </c>
      <c r="N195" s="21" t="s">
        <v>499</v>
      </c>
      <c r="O195" s="21" t="s">
        <v>500</v>
      </c>
      <c r="P195" s="19" t="str">
        <f t="shared" si="29"/>
        <v>CV095|JD5</v>
      </c>
    </row>
    <row r="196" spans="1:16" ht="73.5" customHeight="1" x14ac:dyDescent="0.25">
      <c r="A196" s="19" t="s">
        <v>344</v>
      </c>
      <c r="B196" s="19" t="str">
        <f>INDEX(Resumes!$B$2:$B$101,MATCH(A196,Resumes!$A$2:$A$101,0))</f>
        <v>Siddharth Kulkarni</v>
      </c>
      <c r="C196" s="19" t="s">
        <v>346</v>
      </c>
      <c r="D196" s="19" t="str">
        <f>INDEX('Job Descriptions'!$B$2:$B$6,MATCH(C196,'Job Descriptions'!$A$2:$A$6,0))</f>
        <v>Product Manager - Fintech</v>
      </c>
      <c r="E196" s="20">
        <v>5</v>
      </c>
      <c r="F196" s="20">
        <v>8</v>
      </c>
      <c r="G196" s="20">
        <v>12</v>
      </c>
      <c r="H196" s="20">
        <v>0</v>
      </c>
      <c r="I196" s="16">
        <f t="shared" ref="I196:I227" si="30">SUM(E196:H196)</f>
        <v>25</v>
      </c>
      <c r="J196" s="15" t="str">
        <f t="shared" ref="J196:J227" si="31">IF(AND(I196&gt;=SL_CUT,G196&gt;=SL_SKILL),"Shortlist",IF(AND(I196&gt;=RV_CUT,G196&gt;=RV_SKILL),"Review","Not shortlisted"))</f>
        <v>Not shortlisted</v>
      </c>
      <c r="K196" s="15">
        <f t="shared" ref="K196:K203" si="32">COUNTIFS($C$4:$C$203,C196,$I$4:$I$203,"&gt;"&amp;I196)+1</f>
        <v>92</v>
      </c>
      <c r="L196" s="19" t="str">
        <f t="shared" ref="L196:L203" si="33">IF(OR(AND(I196&gt;=SL_CUT,G196&lt;SL_SKILL),AND(I196&gt;=RV_CUT,G196&lt;RV_SKILL)),"Capped by minimum-skills rule","")</f>
        <v/>
      </c>
      <c r="M196" s="21" t="s">
        <v>347</v>
      </c>
      <c r="N196" s="21" t="s">
        <v>501</v>
      </c>
      <c r="O196" s="21" t="s">
        <v>502</v>
      </c>
      <c r="P196" s="19" t="str">
        <f t="shared" ref="P196:P203" si="34">A196&amp;"|"&amp;C196</f>
        <v>CV100|JD5</v>
      </c>
    </row>
    <row r="197" spans="1:16" ht="73.5" customHeight="1" x14ac:dyDescent="0.25">
      <c r="A197" s="19" t="s">
        <v>326</v>
      </c>
      <c r="B197" s="19" t="str">
        <f>INDEX(Resumes!$B$2:$B$101,MATCH(A197,Resumes!$A$2:$A$101,0))</f>
        <v>Riya Gupta</v>
      </c>
      <c r="C197" s="19" t="s">
        <v>346</v>
      </c>
      <c r="D197" s="19" t="str">
        <f>INDEX('Job Descriptions'!$B$2:$B$6,MATCH(C197,'Job Descriptions'!$A$2:$A$6,0))</f>
        <v>Product Manager - Fintech</v>
      </c>
      <c r="E197" s="20">
        <v>5</v>
      </c>
      <c r="F197" s="20">
        <v>8</v>
      </c>
      <c r="G197" s="20">
        <v>8</v>
      </c>
      <c r="H197" s="20">
        <v>3</v>
      </c>
      <c r="I197" s="16">
        <f t="shared" si="30"/>
        <v>24</v>
      </c>
      <c r="J197" s="15" t="str">
        <f t="shared" si="31"/>
        <v>Not shortlisted</v>
      </c>
      <c r="K197" s="15">
        <f t="shared" si="32"/>
        <v>94</v>
      </c>
      <c r="L197" s="19" t="str">
        <f t="shared" si="33"/>
        <v/>
      </c>
      <c r="M197" s="21" t="s">
        <v>115</v>
      </c>
      <c r="N197" s="21" t="s">
        <v>503</v>
      </c>
      <c r="O197" s="21" t="s">
        <v>444</v>
      </c>
      <c r="P197" s="19" t="str">
        <f t="shared" si="34"/>
        <v>CV048|JD5</v>
      </c>
    </row>
    <row r="198" spans="1:16" ht="73.5" customHeight="1" x14ac:dyDescent="0.25">
      <c r="A198" s="19" t="s">
        <v>199</v>
      </c>
      <c r="B198" s="19" t="str">
        <f>INDEX(Resumes!$B$2:$B$101,MATCH(A198,Resumes!$A$2:$A$101,0))</f>
        <v>Diya D'Souza</v>
      </c>
      <c r="C198" s="19" t="s">
        <v>346</v>
      </c>
      <c r="D198" s="19" t="str">
        <f>INDEX('Job Descriptions'!$B$2:$B$6,MATCH(C198,'Job Descriptions'!$A$2:$A$6,0))</f>
        <v>Product Manager - Fintech</v>
      </c>
      <c r="E198" s="20">
        <v>15</v>
      </c>
      <c r="F198" s="20">
        <v>0</v>
      </c>
      <c r="G198" s="20">
        <v>4</v>
      </c>
      <c r="H198" s="20">
        <v>5</v>
      </c>
      <c r="I198" s="16">
        <f t="shared" si="30"/>
        <v>24</v>
      </c>
      <c r="J198" s="15" t="str">
        <f t="shared" si="31"/>
        <v>Not shortlisted</v>
      </c>
      <c r="K198" s="15">
        <f t="shared" si="32"/>
        <v>94</v>
      </c>
      <c r="L198" s="19" t="str">
        <f t="shared" si="33"/>
        <v/>
      </c>
      <c r="M198" s="21" t="s">
        <v>446</v>
      </c>
      <c r="N198" s="21" t="s">
        <v>504</v>
      </c>
      <c r="O198" s="21" t="s">
        <v>469</v>
      </c>
      <c r="P198" s="19" t="str">
        <f t="shared" si="34"/>
        <v>CV065|JD5</v>
      </c>
    </row>
    <row r="199" spans="1:16" ht="73.5" customHeight="1" x14ac:dyDescent="0.25">
      <c r="A199" s="19" t="s">
        <v>274</v>
      </c>
      <c r="B199" s="19" t="str">
        <f>INDEX(Resumes!$B$2:$B$101,MATCH(A199,Resumes!$A$2:$A$101,0))</f>
        <v>Suresh Kaur</v>
      </c>
      <c r="C199" s="19" t="s">
        <v>346</v>
      </c>
      <c r="D199" s="19" t="str">
        <f>INDEX('Job Descriptions'!$B$2:$B$6,MATCH(C199,'Job Descriptions'!$A$2:$A$6,0))</f>
        <v>Product Manager - Fintech</v>
      </c>
      <c r="E199" s="20">
        <v>15</v>
      </c>
      <c r="F199" s="20">
        <v>0</v>
      </c>
      <c r="G199" s="20">
        <v>8</v>
      </c>
      <c r="H199" s="20">
        <v>0</v>
      </c>
      <c r="I199" s="16">
        <f t="shared" si="30"/>
        <v>23</v>
      </c>
      <c r="J199" s="15" t="str">
        <f t="shared" si="31"/>
        <v>Not shortlisted</v>
      </c>
      <c r="K199" s="15">
        <f t="shared" si="32"/>
        <v>96</v>
      </c>
      <c r="L199" s="19" t="str">
        <f t="shared" si="33"/>
        <v/>
      </c>
      <c r="M199" s="21" t="s">
        <v>115</v>
      </c>
      <c r="N199" s="21" t="s">
        <v>505</v>
      </c>
      <c r="O199" s="21" t="s">
        <v>506</v>
      </c>
      <c r="P199" s="19" t="str">
        <f t="shared" si="34"/>
        <v>CV023|JD5</v>
      </c>
    </row>
    <row r="200" spans="1:16" ht="73.5" customHeight="1" x14ac:dyDescent="0.25">
      <c r="A200" s="19" t="s">
        <v>281</v>
      </c>
      <c r="B200" s="19" t="str">
        <f>INDEX(Resumes!$B$2:$B$101,MATCH(A200,Resumes!$A$2:$A$101,0))</f>
        <v>Pooja Das</v>
      </c>
      <c r="C200" s="19" t="s">
        <v>346</v>
      </c>
      <c r="D200" s="19" t="str">
        <f>INDEX('Job Descriptions'!$B$2:$B$6,MATCH(C200,'Job Descriptions'!$A$2:$A$6,0))</f>
        <v>Product Manager - Fintech</v>
      </c>
      <c r="E200" s="20">
        <v>5</v>
      </c>
      <c r="F200" s="20">
        <v>8</v>
      </c>
      <c r="G200" s="20">
        <v>8</v>
      </c>
      <c r="H200" s="20">
        <v>0</v>
      </c>
      <c r="I200" s="16">
        <f t="shared" si="30"/>
        <v>21</v>
      </c>
      <c r="J200" s="15" t="str">
        <f t="shared" si="31"/>
        <v>Not shortlisted</v>
      </c>
      <c r="K200" s="15">
        <f t="shared" si="32"/>
        <v>97</v>
      </c>
      <c r="L200" s="19" t="str">
        <f t="shared" si="33"/>
        <v/>
      </c>
      <c r="M200" s="21" t="s">
        <v>115</v>
      </c>
      <c r="N200" s="21" t="s">
        <v>507</v>
      </c>
      <c r="O200" s="21" t="s">
        <v>428</v>
      </c>
      <c r="P200" s="19" t="str">
        <f t="shared" si="34"/>
        <v>CV045|JD5</v>
      </c>
    </row>
    <row r="201" spans="1:16" ht="73.5" customHeight="1" x14ac:dyDescent="0.25">
      <c r="A201" s="19" t="s">
        <v>234</v>
      </c>
      <c r="B201" s="19" t="str">
        <f>INDEX(Resumes!$B$2:$B$101,MATCH(A201,Resumes!$A$2:$A$101,0))</f>
        <v>Meera Shinde</v>
      </c>
      <c r="C201" s="19" t="s">
        <v>346</v>
      </c>
      <c r="D201" s="19" t="str">
        <f>INDEX('Job Descriptions'!$B$2:$B$6,MATCH(C201,'Job Descriptions'!$A$2:$A$6,0))</f>
        <v>Product Manager - Fintech</v>
      </c>
      <c r="E201" s="20">
        <v>15</v>
      </c>
      <c r="F201" s="20">
        <v>0</v>
      </c>
      <c r="G201" s="20">
        <v>0</v>
      </c>
      <c r="H201" s="20">
        <v>3</v>
      </c>
      <c r="I201" s="16">
        <f t="shared" si="30"/>
        <v>18</v>
      </c>
      <c r="J201" s="15" t="str">
        <f t="shared" si="31"/>
        <v>Not shortlisted</v>
      </c>
      <c r="K201" s="15">
        <f t="shared" si="32"/>
        <v>98</v>
      </c>
      <c r="L201" s="19" t="str">
        <f t="shared" si="33"/>
        <v/>
      </c>
      <c r="M201" s="21" t="s">
        <v>115</v>
      </c>
      <c r="N201" s="21" t="s">
        <v>508</v>
      </c>
      <c r="O201" s="21" t="s">
        <v>475</v>
      </c>
      <c r="P201" s="19" t="str">
        <f t="shared" si="34"/>
        <v>CV021|JD5</v>
      </c>
    </row>
    <row r="202" spans="1:16" ht="73.5" customHeight="1" x14ac:dyDescent="0.25">
      <c r="A202" s="19" t="s">
        <v>304</v>
      </c>
      <c r="B202" s="19" t="str">
        <f>INDEX(Resumes!$B$2:$B$101,MATCH(A202,Resumes!$A$2:$A$101,0))</f>
        <v>Thomas Joshi</v>
      </c>
      <c r="C202" s="19" t="s">
        <v>346</v>
      </c>
      <c r="D202" s="19" t="str">
        <f>INDEX('Job Descriptions'!$B$2:$B$6,MATCH(C202,'Job Descriptions'!$A$2:$A$6,0))</f>
        <v>Product Manager - Fintech</v>
      </c>
      <c r="E202" s="20">
        <v>5</v>
      </c>
      <c r="F202" s="20">
        <v>12</v>
      </c>
      <c r="G202" s="20">
        <v>0</v>
      </c>
      <c r="H202" s="20">
        <v>0</v>
      </c>
      <c r="I202" s="16">
        <f t="shared" si="30"/>
        <v>17</v>
      </c>
      <c r="J202" s="15" t="str">
        <f t="shared" si="31"/>
        <v>Not shortlisted</v>
      </c>
      <c r="K202" s="15">
        <f t="shared" si="32"/>
        <v>99</v>
      </c>
      <c r="L202" s="19" t="str">
        <f t="shared" si="33"/>
        <v/>
      </c>
      <c r="M202" s="21" t="s">
        <v>115</v>
      </c>
      <c r="N202" s="21" t="s">
        <v>509</v>
      </c>
      <c r="O202" s="21" t="s">
        <v>410</v>
      </c>
      <c r="P202" s="19" t="str">
        <f t="shared" si="34"/>
        <v>CV071|JD5</v>
      </c>
    </row>
    <row r="203" spans="1:16" ht="73.5" customHeight="1" x14ac:dyDescent="0.25">
      <c r="A203" s="19" t="s">
        <v>336</v>
      </c>
      <c r="B203" s="19" t="str">
        <f>INDEX(Resumes!$B$2:$B$101,MATCH(A203,Resumes!$A$2:$A$101,0))</f>
        <v>Deepak Rao</v>
      </c>
      <c r="C203" s="19" t="s">
        <v>346</v>
      </c>
      <c r="D203" s="19" t="str">
        <f>INDEX('Job Descriptions'!$B$2:$B$6,MATCH(C203,'Job Descriptions'!$A$2:$A$6,0))</f>
        <v>Product Manager - Fintech</v>
      </c>
      <c r="E203" s="20">
        <v>5</v>
      </c>
      <c r="F203" s="20">
        <v>0</v>
      </c>
      <c r="G203" s="20">
        <v>0</v>
      </c>
      <c r="H203" s="20">
        <v>4</v>
      </c>
      <c r="I203" s="16">
        <f t="shared" si="30"/>
        <v>9</v>
      </c>
      <c r="J203" s="15" t="str">
        <f t="shared" si="31"/>
        <v>Not shortlisted</v>
      </c>
      <c r="K203" s="15">
        <f t="shared" si="32"/>
        <v>100</v>
      </c>
      <c r="L203" s="19" t="str">
        <f t="shared" si="33"/>
        <v/>
      </c>
      <c r="M203" s="21" t="s">
        <v>115</v>
      </c>
      <c r="N203" s="21" t="s">
        <v>510</v>
      </c>
      <c r="O203" s="21" t="s">
        <v>475</v>
      </c>
      <c r="P203" s="19" t="str">
        <f t="shared" si="34"/>
        <v>CV078|JD5</v>
      </c>
    </row>
  </sheetData>
  <autoFilter ref="A3:P203" xr:uid="{00000000-0009-0000-0000-000002000000}"/>
  <conditionalFormatting sqref="J4:J203">
    <cfRule type="expression" dxfId="2" priority="2">
      <formula>J4="Shortlist"</formula>
    </cfRule>
    <cfRule type="expression" dxfId="1" priority="3">
      <formula>J4="Review"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"/>
  <sheetViews>
    <sheetView zoomScaleNormal="100" workbookViewId="0">
      <pane ySplit="4" topLeftCell="A40" activePane="bottomLeft" state="frozen"/>
      <selection pane="bottomLeft" activeCell="A40" sqref="A39:XFD40"/>
    </sheetView>
  </sheetViews>
  <sheetFormatPr defaultColWidth="8.6328125" defaultRowHeight="12.9" x14ac:dyDescent="0.25"/>
  <cols>
    <col min="1" max="1" width="34" customWidth="1"/>
    <col min="2" max="2" width="40" customWidth="1"/>
    <col min="3" max="4" width="12" customWidth="1"/>
    <col min="5" max="9" width="18" customWidth="1"/>
  </cols>
  <sheetData>
    <row r="1" spans="1:9" ht="17.75" x14ac:dyDescent="0.35">
      <c r="A1" s="4" t="s">
        <v>511</v>
      </c>
    </row>
    <row r="2" spans="1:9" ht="13.45" x14ac:dyDescent="0.3">
      <c r="A2" s="12" t="s">
        <v>512</v>
      </c>
    </row>
    <row r="4" spans="1:9" x14ac:dyDescent="0.25">
      <c r="A4" s="13" t="s">
        <v>513</v>
      </c>
      <c r="B4" s="3" t="s">
        <v>514</v>
      </c>
      <c r="C4" s="3"/>
      <c r="D4" s="3"/>
      <c r="E4" s="3"/>
      <c r="F4" s="3"/>
      <c r="G4" s="3"/>
      <c r="H4" s="3"/>
      <c r="I4" s="3"/>
    </row>
    <row r="5" spans="1:9" ht="16.55" customHeight="1" x14ac:dyDescent="0.25">
      <c r="A5" s="14" t="s">
        <v>515</v>
      </c>
      <c r="B5" s="2" t="s">
        <v>516</v>
      </c>
      <c r="C5" s="2"/>
      <c r="D5" s="2"/>
      <c r="E5" s="2"/>
      <c r="F5" s="2"/>
      <c r="G5" s="2"/>
      <c r="H5" s="2"/>
      <c r="I5" s="2"/>
    </row>
    <row r="6" spans="1:9" ht="29.95" customHeight="1" x14ac:dyDescent="0.25">
      <c r="A6" s="14" t="s">
        <v>517</v>
      </c>
      <c r="B6" s="2" t="s">
        <v>518</v>
      </c>
      <c r="C6" s="2"/>
      <c r="D6" s="2"/>
      <c r="E6" s="2"/>
      <c r="F6" s="2"/>
      <c r="G6" s="2"/>
      <c r="H6" s="2"/>
      <c r="I6" s="2"/>
    </row>
    <row r="7" spans="1:9" ht="42.75" customHeight="1" x14ac:dyDescent="0.25">
      <c r="A7" s="14" t="s">
        <v>519</v>
      </c>
      <c r="B7" s="2" t="s">
        <v>520</v>
      </c>
      <c r="C7" s="2"/>
      <c r="D7" s="2"/>
      <c r="E7" s="2"/>
      <c r="F7" s="2"/>
      <c r="G7" s="2"/>
      <c r="H7" s="2"/>
      <c r="I7" s="2"/>
    </row>
    <row r="8" spans="1:9" ht="69.05" customHeight="1" x14ac:dyDescent="0.25">
      <c r="A8" s="14" t="s">
        <v>521</v>
      </c>
      <c r="B8" s="2" t="s">
        <v>522</v>
      </c>
      <c r="C8" s="2"/>
      <c r="D8" s="2"/>
      <c r="E8" s="2"/>
      <c r="F8" s="2"/>
      <c r="G8" s="2"/>
      <c r="H8" s="2"/>
      <c r="I8" s="2"/>
    </row>
    <row r="9" spans="1:9" ht="55.5" customHeight="1" x14ac:dyDescent="0.25">
      <c r="A9" s="14" t="s">
        <v>523</v>
      </c>
      <c r="B9" s="2" t="s">
        <v>524</v>
      </c>
      <c r="C9" s="2"/>
      <c r="D9" s="2"/>
      <c r="E9" s="2"/>
      <c r="F9" s="2"/>
      <c r="G9" s="2"/>
      <c r="H9" s="2"/>
      <c r="I9" s="2"/>
    </row>
    <row r="10" spans="1:9" ht="29.95" customHeight="1" x14ac:dyDescent="0.25">
      <c r="A10" s="14" t="s">
        <v>525</v>
      </c>
      <c r="B10" s="2" t="s">
        <v>526</v>
      </c>
      <c r="C10" s="2"/>
      <c r="D10" s="2"/>
      <c r="E10" s="2"/>
      <c r="F10" s="2"/>
      <c r="G10" s="2"/>
      <c r="H10" s="2"/>
      <c r="I10" s="2"/>
    </row>
    <row r="11" spans="1:9" ht="55.5" customHeight="1" x14ac:dyDescent="0.25">
      <c r="A11" s="14" t="s">
        <v>527</v>
      </c>
      <c r="B11" s="2" t="s">
        <v>528</v>
      </c>
      <c r="C11" s="2"/>
      <c r="D11" s="2"/>
      <c r="E11" s="2"/>
      <c r="F11" s="2"/>
      <c r="G11" s="2"/>
      <c r="H11" s="2"/>
      <c r="I11" s="2"/>
    </row>
    <row r="13" spans="1:9" ht="14" x14ac:dyDescent="0.3">
      <c r="A13" s="18" t="s">
        <v>529</v>
      </c>
    </row>
    <row r="14" spans="1:9" ht="15.05" customHeight="1" x14ac:dyDescent="0.25">
      <c r="A14" s="13" t="s">
        <v>530</v>
      </c>
      <c r="B14" s="13" t="s">
        <v>531</v>
      </c>
      <c r="C14" s="3" t="s">
        <v>532</v>
      </c>
      <c r="D14" s="3"/>
      <c r="E14" s="3"/>
      <c r="F14" s="3"/>
      <c r="G14" s="3"/>
      <c r="H14" s="3"/>
      <c r="I14" s="3"/>
    </row>
    <row r="15" spans="1:9" ht="15.05" customHeight="1" x14ac:dyDescent="0.25">
      <c r="A15" s="14" t="s">
        <v>533</v>
      </c>
      <c r="B15" s="22">
        <v>60</v>
      </c>
      <c r="C15" s="2" t="s">
        <v>534</v>
      </c>
      <c r="D15" s="2"/>
      <c r="E15" s="2"/>
      <c r="F15" s="2"/>
      <c r="G15" s="2"/>
      <c r="H15" s="2"/>
      <c r="I15" s="2"/>
    </row>
    <row r="16" spans="1:9" ht="15.05" customHeight="1" x14ac:dyDescent="0.25">
      <c r="A16" s="14" t="s">
        <v>535</v>
      </c>
      <c r="B16" s="22">
        <v>12</v>
      </c>
      <c r="C16" s="2" t="s">
        <v>536</v>
      </c>
      <c r="D16" s="2"/>
      <c r="E16" s="2"/>
      <c r="F16" s="2"/>
      <c r="G16" s="2"/>
      <c r="H16" s="2"/>
      <c r="I16" s="2"/>
    </row>
    <row r="17" spans="1:9" ht="15.05" customHeight="1" x14ac:dyDescent="0.25">
      <c r="A17" s="14" t="s">
        <v>537</v>
      </c>
      <c r="B17" s="22">
        <v>55</v>
      </c>
      <c r="C17" s="2" t="s">
        <v>538</v>
      </c>
      <c r="D17" s="2"/>
      <c r="E17" s="2"/>
      <c r="F17" s="2"/>
      <c r="G17" s="2"/>
      <c r="H17" s="2"/>
      <c r="I17" s="2"/>
    </row>
    <row r="18" spans="1:9" ht="15.05" customHeight="1" x14ac:dyDescent="0.25">
      <c r="A18" s="14" t="s">
        <v>539</v>
      </c>
      <c r="B18" s="22">
        <v>8</v>
      </c>
      <c r="C18" s="2" t="s">
        <v>540</v>
      </c>
      <c r="D18" s="2"/>
      <c r="E18" s="2"/>
      <c r="F18" s="2"/>
      <c r="G18" s="2"/>
      <c r="H18" s="2"/>
      <c r="I18" s="2"/>
    </row>
    <row r="20" spans="1:9" ht="14" x14ac:dyDescent="0.3">
      <c r="A20" s="18" t="s">
        <v>541</v>
      </c>
    </row>
    <row r="21" spans="1:9" ht="25.8" x14ac:dyDescent="0.25">
      <c r="A21" s="13" t="s">
        <v>83</v>
      </c>
      <c r="B21" s="13" t="s">
        <v>84</v>
      </c>
      <c r="C21" s="13" t="s">
        <v>542</v>
      </c>
      <c r="D21" s="13" t="s">
        <v>543</v>
      </c>
      <c r="E21" s="13" t="s">
        <v>544</v>
      </c>
      <c r="F21" s="13" t="s">
        <v>545</v>
      </c>
      <c r="G21" s="13" t="s">
        <v>546</v>
      </c>
      <c r="H21" s="13" t="s">
        <v>547</v>
      </c>
      <c r="I21" s="13" t="s">
        <v>548</v>
      </c>
    </row>
    <row r="22" spans="1:9" x14ac:dyDescent="0.25">
      <c r="A22" s="19" t="s">
        <v>97</v>
      </c>
      <c r="B22" s="19" t="s">
        <v>549</v>
      </c>
      <c r="C22" s="15">
        <v>2</v>
      </c>
      <c r="D22" s="15">
        <v>4</v>
      </c>
      <c r="E22" s="19" t="s">
        <v>550</v>
      </c>
      <c r="F22" s="19" t="s">
        <v>551</v>
      </c>
      <c r="G22" s="19" t="s">
        <v>552</v>
      </c>
      <c r="H22" s="19" t="s">
        <v>553</v>
      </c>
      <c r="I22" s="19" t="s">
        <v>554</v>
      </c>
    </row>
    <row r="23" spans="1:9" x14ac:dyDescent="0.25">
      <c r="A23" s="19" t="s">
        <v>346</v>
      </c>
      <c r="B23" s="19" t="s">
        <v>555</v>
      </c>
      <c r="C23" s="15">
        <v>3</v>
      </c>
      <c r="D23" s="15">
        <v>6</v>
      </c>
      <c r="E23" s="19" t="s">
        <v>556</v>
      </c>
      <c r="F23" s="19" t="s">
        <v>557</v>
      </c>
      <c r="G23" s="19" t="s">
        <v>558</v>
      </c>
      <c r="H23" s="19" t="s">
        <v>559</v>
      </c>
      <c r="I23" s="19" t="s">
        <v>560</v>
      </c>
    </row>
    <row r="25" spans="1:9" ht="14" x14ac:dyDescent="0.3">
      <c r="A25" s="18" t="s">
        <v>561</v>
      </c>
    </row>
    <row r="26" spans="1:9" ht="15.05" customHeight="1" x14ac:dyDescent="0.25">
      <c r="A26" s="13" t="s">
        <v>562</v>
      </c>
      <c r="B26" s="13" t="s">
        <v>97</v>
      </c>
      <c r="C26" s="13" t="s">
        <v>346</v>
      </c>
      <c r="D26" s="3" t="s">
        <v>563</v>
      </c>
      <c r="E26" s="3"/>
      <c r="F26" s="3"/>
      <c r="G26" s="3"/>
      <c r="H26" s="3"/>
      <c r="I26" s="3"/>
    </row>
    <row r="27" spans="1:9" ht="15.05" customHeight="1" x14ac:dyDescent="0.25">
      <c r="A27" s="19" t="s">
        <v>564</v>
      </c>
      <c r="B27" s="15">
        <v>25</v>
      </c>
      <c r="C27" s="15">
        <v>15</v>
      </c>
      <c r="D27" s="2" t="s">
        <v>565</v>
      </c>
      <c r="E27" s="2"/>
      <c r="F27" s="2"/>
      <c r="G27" s="2"/>
      <c r="H27" s="2"/>
      <c r="I27" s="2"/>
    </row>
    <row r="28" spans="1:9" ht="15.05" customHeight="1" x14ac:dyDescent="0.25">
      <c r="A28" s="19" t="s">
        <v>566</v>
      </c>
      <c r="B28" s="15">
        <v>25</v>
      </c>
      <c r="C28" s="15">
        <v>5</v>
      </c>
      <c r="D28" s="2" t="s">
        <v>567</v>
      </c>
      <c r="E28" s="2"/>
      <c r="F28" s="2"/>
      <c r="G28" s="2"/>
      <c r="H28" s="2"/>
      <c r="I28" s="2"/>
    </row>
    <row r="29" spans="1:9" ht="15.05" customHeight="1" x14ac:dyDescent="0.25">
      <c r="A29" s="19" t="s">
        <v>568</v>
      </c>
      <c r="B29" s="15">
        <v>12</v>
      </c>
      <c r="C29" s="15">
        <v>25</v>
      </c>
      <c r="D29" s="2" t="s">
        <v>569</v>
      </c>
      <c r="E29" s="2"/>
      <c r="F29" s="2"/>
      <c r="G29" s="2"/>
      <c r="H29" s="2"/>
      <c r="I29" s="2"/>
    </row>
    <row r="30" spans="1:9" ht="15.05" customHeight="1" x14ac:dyDescent="0.25">
      <c r="A30" s="19" t="s">
        <v>570</v>
      </c>
      <c r="B30" s="15">
        <v>12</v>
      </c>
      <c r="C30" s="15">
        <v>15</v>
      </c>
      <c r="D30" s="2" t="s">
        <v>571</v>
      </c>
      <c r="E30" s="2"/>
      <c r="F30" s="2"/>
      <c r="G30" s="2"/>
      <c r="H30" s="2"/>
      <c r="I30" s="2"/>
    </row>
    <row r="31" spans="1:9" ht="15.05" customHeight="1" x14ac:dyDescent="0.25">
      <c r="A31" s="19" t="s">
        <v>572</v>
      </c>
      <c r="B31" s="15">
        <v>12</v>
      </c>
      <c r="C31" s="15">
        <v>15</v>
      </c>
      <c r="D31" s="2" t="s">
        <v>571</v>
      </c>
      <c r="E31" s="2"/>
      <c r="F31" s="2"/>
      <c r="G31" s="2"/>
      <c r="H31" s="2"/>
      <c r="I31" s="2"/>
    </row>
    <row r="32" spans="1:9" ht="15.05" customHeight="1" x14ac:dyDescent="0.25">
      <c r="A32" s="19" t="s">
        <v>573</v>
      </c>
      <c r="B32" s="15">
        <v>12</v>
      </c>
      <c r="C32" s="15">
        <v>15</v>
      </c>
      <c r="D32" s="2" t="s">
        <v>571</v>
      </c>
      <c r="E32" s="2"/>
      <c r="F32" s="2"/>
      <c r="G32" s="2"/>
      <c r="H32" s="2"/>
      <c r="I32" s="2"/>
    </row>
    <row r="33" spans="1:9" ht="15.05" customHeight="1" x14ac:dyDescent="0.25">
      <c r="A33" s="19" t="s">
        <v>574</v>
      </c>
      <c r="B33" s="15">
        <v>8</v>
      </c>
      <c r="C33" s="15">
        <v>5</v>
      </c>
      <c r="D33" s="2" t="s">
        <v>575</v>
      </c>
      <c r="E33" s="2"/>
      <c r="F33" s="2"/>
      <c r="G33" s="2"/>
      <c r="H33" s="2"/>
      <c r="I33" s="2"/>
    </row>
    <row r="34" spans="1:9" ht="15.05" customHeight="1" x14ac:dyDescent="0.25">
      <c r="A34" s="19" t="s">
        <v>576</v>
      </c>
      <c r="B34" s="15">
        <v>6</v>
      </c>
      <c r="C34" s="15">
        <v>5</v>
      </c>
      <c r="D34" s="2" t="s">
        <v>577</v>
      </c>
      <c r="E34" s="2"/>
      <c r="F34" s="2"/>
      <c r="G34" s="2"/>
      <c r="H34" s="2"/>
      <c r="I34" s="2"/>
    </row>
    <row r="36" spans="1:9" ht="14" x14ac:dyDescent="0.3">
      <c r="A36" s="18" t="s">
        <v>578</v>
      </c>
    </row>
    <row r="37" spans="1:9" ht="15.05" customHeight="1" x14ac:dyDescent="0.25">
      <c r="A37" s="13" t="s">
        <v>579</v>
      </c>
      <c r="B37" s="13" t="s">
        <v>97</v>
      </c>
      <c r="C37" s="13" t="s">
        <v>346</v>
      </c>
      <c r="D37" s="3" t="s">
        <v>563</v>
      </c>
      <c r="E37" s="3"/>
      <c r="F37" s="3"/>
      <c r="G37" s="3"/>
      <c r="H37" s="3"/>
      <c r="I37" s="3"/>
    </row>
    <row r="38" spans="1:9" ht="23.95" customHeight="1" x14ac:dyDescent="0.25">
      <c r="A38" s="19" t="s">
        <v>580</v>
      </c>
      <c r="B38" s="15">
        <v>10</v>
      </c>
      <c r="C38" s="15">
        <v>7</v>
      </c>
      <c r="D38" s="2" t="s">
        <v>581</v>
      </c>
      <c r="E38" s="2"/>
      <c r="F38" s="2"/>
      <c r="G38" s="2"/>
      <c r="H38" s="2"/>
      <c r="I38" s="2"/>
    </row>
    <row r="39" spans="1:9" ht="23.95" customHeight="1" x14ac:dyDescent="0.25">
      <c r="A39" s="19" t="s">
        <v>582</v>
      </c>
      <c r="B39" s="15">
        <v>10</v>
      </c>
      <c r="C39" s="15">
        <v>6</v>
      </c>
      <c r="D39" s="2" t="s">
        <v>583</v>
      </c>
      <c r="E39" s="2"/>
      <c r="F39" s="2"/>
      <c r="G39" s="2"/>
      <c r="H39" s="2"/>
      <c r="I39" s="2"/>
    </row>
    <row r="40" spans="1:9" ht="23.95" customHeight="1" x14ac:dyDescent="0.25">
      <c r="A40" s="19" t="s">
        <v>584</v>
      </c>
      <c r="B40" s="15">
        <v>4</v>
      </c>
      <c r="C40" s="15">
        <v>4</v>
      </c>
      <c r="D40" s="2" t="s">
        <v>585</v>
      </c>
      <c r="E40" s="2"/>
      <c r="F40" s="2"/>
      <c r="G40" s="2"/>
      <c r="H40" s="2"/>
      <c r="I40" s="2"/>
    </row>
    <row r="41" spans="1:9" ht="15.05" customHeight="1" x14ac:dyDescent="0.25">
      <c r="A41" s="19" t="s">
        <v>586</v>
      </c>
      <c r="B41" s="15">
        <v>3</v>
      </c>
      <c r="C41" s="15">
        <v>3</v>
      </c>
      <c r="D41" s="2" t="s">
        <v>587</v>
      </c>
      <c r="E41" s="2"/>
      <c r="F41" s="2"/>
      <c r="G41" s="2"/>
      <c r="H41" s="2"/>
      <c r="I41" s="2"/>
    </row>
    <row r="42" spans="1:9" ht="15.05" customHeight="1" x14ac:dyDescent="0.25">
      <c r="A42" s="19" t="s">
        <v>588</v>
      </c>
      <c r="B42" s="15">
        <v>3</v>
      </c>
      <c r="C42" s="15">
        <v>5</v>
      </c>
      <c r="D42" s="2" t="s">
        <v>589</v>
      </c>
      <c r="E42" s="2"/>
      <c r="F42" s="2"/>
      <c r="G42" s="2"/>
      <c r="H42" s="2"/>
      <c r="I42" s="2"/>
    </row>
    <row r="43" spans="1:9" ht="15.05" customHeight="1" x14ac:dyDescent="0.25">
      <c r="A43" s="19" t="s">
        <v>590</v>
      </c>
      <c r="B43" s="15">
        <v>0</v>
      </c>
      <c r="C43" s="15">
        <v>0</v>
      </c>
      <c r="D43" s="2" t="s">
        <v>591</v>
      </c>
      <c r="E43" s="2"/>
      <c r="F43" s="2"/>
      <c r="G43" s="2"/>
      <c r="H43" s="2"/>
      <c r="I43" s="2"/>
    </row>
    <row r="45" spans="1:9" ht="14" x14ac:dyDescent="0.3">
      <c r="A45" s="18" t="s">
        <v>592</v>
      </c>
    </row>
    <row r="46" spans="1:9" x14ac:dyDescent="0.25">
      <c r="A46" s="13" t="s">
        <v>593</v>
      </c>
      <c r="B46" s="13" t="s">
        <v>594</v>
      </c>
    </row>
    <row r="47" spans="1:9" x14ac:dyDescent="0.25">
      <c r="A47" s="19" t="s">
        <v>595</v>
      </c>
      <c r="B47" s="15">
        <v>25</v>
      </c>
    </row>
    <row r="48" spans="1:9" x14ac:dyDescent="0.25">
      <c r="A48" s="19" t="s">
        <v>596</v>
      </c>
      <c r="B48" s="15">
        <v>15</v>
      </c>
    </row>
    <row r="49" spans="1:9" x14ac:dyDescent="0.25">
      <c r="A49" s="19" t="s">
        <v>597</v>
      </c>
      <c r="B49" s="15">
        <v>8</v>
      </c>
    </row>
    <row r="50" spans="1:9" x14ac:dyDescent="0.25">
      <c r="A50" s="19" t="s">
        <v>598</v>
      </c>
      <c r="B50" s="15">
        <v>0</v>
      </c>
    </row>
    <row r="51" spans="1:9" x14ac:dyDescent="0.25">
      <c r="A51" s="19" t="s">
        <v>599</v>
      </c>
      <c r="B51" s="15">
        <v>20</v>
      </c>
    </row>
    <row r="52" spans="1:9" x14ac:dyDescent="0.25">
      <c r="A52" s="19" t="s">
        <v>600</v>
      </c>
      <c r="B52" s="15">
        <v>12</v>
      </c>
    </row>
    <row r="54" spans="1:9" ht="14" x14ac:dyDescent="0.3">
      <c r="A54" s="18" t="s">
        <v>601</v>
      </c>
    </row>
    <row r="55" spans="1:9" ht="15.05" customHeight="1" x14ac:dyDescent="0.25">
      <c r="A55" s="13" t="s">
        <v>83</v>
      </c>
      <c r="B55" s="13" t="s">
        <v>602</v>
      </c>
      <c r="C55" s="3" t="s">
        <v>603</v>
      </c>
      <c r="D55" s="3"/>
      <c r="E55" s="3"/>
      <c r="F55" s="3"/>
      <c r="G55" s="3"/>
      <c r="H55" s="3"/>
      <c r="I55" s="3"/>
    </row>
    <row r="56" spans="1:9" ht="15.05" customHeight="1" x14ac:dyDescent="0.25">
      <c r="A56" s="19" t="s">
        <v>97</v>
      </c>
      <c r="B56" s="19" t="s">
        <v>554</v>
      </c>
      <c r="C56" s="2" t="s">
        <v>604</v>
      </c>
      <c r="D56" s="2"/>
      <c r="E56" s="2"/>
      <c r="F56" s="2"/>
      <c r="G56" s="2"/>
      <c r="H56" s="2"/>
      <c r="I56" s="2"/>
    </row>
    <row r="57" spans="1:9" ht="15.05" customHeight="1" x14ac:dyDescent="0.25">
      <c r="A57" s="19" t="s">
        <v>97</v>
      </c>
      <c r="B57" s="19" t="s">
        <v>551</v>
      </c>
      <c r="C57" s="2" t="s">
        <v>605</v>
      </c>
      <c r="D57" s="2"/>
      <c r="E57" s="2"/>
      <c r="F57" s="2"/>
      <c r="G57" s="2"/>
      <c r="H57" s="2"/>
      <c r="I57" s="2"/>
    </row>
    <row r="58" spans="1:9" ht="15.05" customHeight="1" x14ac:dyDescent="0.25">
      <c r="A58" s="19" t="s">
        <v>346</v>
      </c>
      <c r="B58" s="19" t="s">
        <v>560</v>
      </c>
      <c r="C58" s="2" t="s">
        <v>606</v>
      </c>
      <c r="D58" s="2"/>
      <c r="E58" s="2"/>
      <c r="F58" s="2"/>
      <c r="G58" s="2"/>
      <c r="H58" s="2"/>
      <c r="I58" s="2"/>
    </row>
    <row r="59" spans="1:9" ht="15.05" customHeight="1" x14ac:dyDescent="0.25">
      <c r="A59" s="19" t="s">
        <v>346</v>
      </c>
      <c r="B59" s="19" t="s">
        <v>557</v>
      </c>
      <c r="C59" s="2" t="s">
        <v>607</v>
      </c>
      <c r="D59" s="2"/>
      <c r="E59" s="2"/>
      <c r="F59" s="2"/>
      <c r="G59" s="2"/>
      <c r="H59" s="2"/>
      <c r="I59" s="2"/>
    </row>
    <row r="60" spans="1:9" ht="15.05" customHeight="1" x14ac:dyDescent="0.25">
      <c r="A60" s="19" t="s">
        <v>608</v>
      </c>
      <c r="B60" s="19" t="s">
        <v>609</v>
      </c>
      <c r="C60" s="2" t="s">
        <v>610</v>
      </c>
      <c r="D60" s="2"/>
      <c r="E60" s="2"/>
      <c r="F60" s="2"/>
      <c r="G60" s="2"/>
      <c r="H60" s="2"/>
      <c r="I60" s="2"/>
    </row>
    <row r="62" spans="1:9" ht="14" x14ac:dyDescent="0.3">
      <c r="A62" s="18" t="s">
        <v>611</v>
      </c>
    </row>
    <row r="63" spans="1:9" ht="42.75" customHeight="1" x14ac:dyDescent="0.25">
      <c r="A63" s="2" t="s">
        <v>612</v>
      </c>
      <c r="B63" s="2"/>
      <c r="C63" s="2"/>
      <c r="D63" s="2"/>
      <c r="E63" s="2"/>
      <c r="F63" s="2"/>
      <c r="G63" s="2"/>
      <c r="H63" s="2"/>
      <c r="I63" s="2"/>
    </row>
  </sheetData>
  <mergeCells count="36">
    <mergeCell ref="A63:I63"/>
    <mergeCell ref="C56:I56"/>
    <mergeCell ref="C57:I57"/>
    <mergeCell ref="C58:I58"/>
    <mergeCell ref="C59:I59"/>
    <mergeCell ref="C60:I60"/>
    <mergeCell ref="D40:I40"/>
    <mergeCell ref="D41:I41"/>
    <mergeCell ref="D42:I42"/>
    <mergeCell ref="D43:I43"/>
    <mergeCell ref="C55:I55"/>
    <mergeCell ref="D33:I33"/>
    <mergeCell ref="D34:I34"/>
    <mergeCell ref="D37:I37"/>
    <mergeCell ref="D38:I38"/>
    <mergeCell ref="D39:I39"/>
    <mergeCell ref="D28:I28"/>
    <mergeCell ref="D29:I29"/>
    <mergeCell ref="D30:I30"/>
    <mergeCell ref="D31:I31"/>
    <mergeCell ref="D32:I32"/>
    <mergeCell ref="C16:I16"/>
    <mergeCell ref="C17:I17"/>
    <mergeCell ref="C18:I18"/>
    <mergeCell ref="D26:I26"/>
    <mergeCell ref="D27:I27"/>
    <mergeCell ref="B9:I9"/>
    <mergeCell ref="B10:I10"/>
    <mergeCell ref="B11:I11"/>
    <mergeCell ref="C14:I14"/>
    <mergeCell ref="C15:I15"/>
    <mergeCell ref="B4:I4"/>
    <mergeCell ref="B5:I5"/>
    <mergeCell ref="B6:I6"/>
    <mergeCell ref="B7:I7"/>
    <mergeCell ref="B8:I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2.9" x14ac:dyDescent="0.25"/>
  <cols>
    <col min="1" max="1" width="9" customWidth="1"/>
    <col min="2" max="2" width="60" customWidth="1"/>
    <col min="3" max="3" width="22" customWidth="1"/>
    <col min="4" max="4" width="34" customWidth="1"/>
    <col min="5" max="5" width="44" customWidth="1"/>
    <col min="6" max="6" width="36" customWidth="1"/>
    <col min="7" max="7" width="11" customWidth="1"/>
  </cols>
  <sheetData>
    <row r="1" spans="1:7" ht="17.75" x14ac:dyDescent="0.35">
      <c r="A1" s="4" t="s">
        <v>613</v>
      </c>
    </row>
    <row r="2" spans="1:7" ht="13.45" x14ac:dyDescent="0.3">
      <c r="A2" s="12" t="s">
        <v>614</v>
      </c>
    </row>
    <row r="4" spans="1:7" x14ac:dyDescent="0.25">
      <c r="A4" s="13" t="s">
        <v>615</v>
      </c>
      <c r="B4" s="13" t="s">
        <v>616</v>
      </c>
      <c r="C4" s="13" t="s">
        <v>617</v>
      </c>
      <c r="D4" s="13" t="s">
        <v>618</v>
      </c>
      <c r="E4" s="13" t="s">
        <v>619</v>
      </c>
      <c r="F4" s="13" t="s">
        <v>620</v>
      </c>
      <c r="G4" s="13" t="s">
        <v>621</v>
      </c>
    </row>
    <row r="5" spans="1:7" ht="90.8" customHeight="1" x14ac:dyDescent="0.25">
      <c r="A5" s="14" t="s">
        <v>622</v>
      </c>
      <c r="B5" s="19" t="s">
        <v>623</v>
      </c>
      <c r="C5" s="19" t="s">
        <v>624</v>
      </c>
      <c r="D5" s="19" t="s">
        <v>625</v>
      </c>
      <c r="E5" s="19" t="s">
        <v>626</v>
      </c>
      <c r="F5" s="19" t="s">
        <v>627</v>
      </c>
      <c r="G5" s="19" t="s">
        <v>628</v>
      </c>
    </row>
    <row r="6" spans="1:7" ht="198.8" customHeight="1" x14ac:dyDescent="0.25">
      <c r="A6" s="14" t="s">
        <v>629</v>
      </c>
      <c r="B6" s="19" t="s">
        <v>630</v>
      </c>
      <c r="C6" s="19" t="s">
        <v>631</v>
      </c>
      <c r="D6" s="19" t="s">
        <v>632</v>
      </c>
      <c r="E6" s="19" t="s">
        <v>633</v>
      </c>
      <c r="F6" s="19" t="s">
        <v>634</v>
      </c>
      <c r="G6" s="19" t="s">
        <v>628</v>
      </c>
    </row>
    <row r="7" spans="1:7" ht="90.8" customHeight="1" x14ac:dyDescent="0.25">
      <c r="A7" s="14" t="s">
        <v>635</v>
      </c>
      <c r="B7" s="19" t="s">
        <v>636</v>
      </c>
      <c r="C7" s="19" t="s">
        <v>637</v>
      </c>
      <c r="D7" s="19" t="s">
        <v>638</v>
      </c>
      <c r="E7" s="19" t="s">
        <v>639</v>
      </c>
      <c r="F7" s="19" t="s">
        <v>640</v>
      </c>
      <c r="G7" s="19" t="s">
        <v>641</v>
      </c>
    </row>
    <row r="8" spans="1:7" ht="51.75" customHeight="1" x14ac:dyDescent="0.25">
      <c r="A8" s="14" t="s">
        <v>642</v>
      </c>
      <c r="B8" s="19" t="s">
        <v>643</v>
      </c>
      <c r="C8" s="19" t="s">
        <v>644</v>
      </c>
      <c r="D8" s="19" t="s">
        <v>645</v>
      </c>
      <c r="E8" s="19" t="s">
        <v>646</v>
      </c>
      <c r="F8" s="19" t="s">
        <v>647</v>
      </c>
      <c r="G8" s="19" t="s">
        <v>648</v>
      </c>
    </row>
    <row r="10" spans="1:7" ht="14" x14ac:dyDescent="0.3">
      <c r="A10" s="18" t="s">
        <v>649</v>
      </c>
    </row>
    <row r="11" spans="1:7" ht="25.8" x14ac:dyDescent="0.25">
      <c r="A11" s="13" t="s">
        <v>75</v>
      </c>
      <c r="B11" s="13" t="s">
        <v>650</v>
      </c>
      <c r="C11" s="13" t="s">
        <v>651</v>
      </c>
      <c r="D11" s="13" t="s">
        <v>652</v>
      </c>
      <c r="E11" s="13" t="s">
        <v>653</v>
      </c>
      <c r="F11" s="13" t="s">
        <v>654</v>
      </c>
    </row>
    <row r="12" spans="1:7" ht="81.8" customHeight="1" x14ac:dyDescent="0.25">
      <c r="A12" s="19" t="s">
        <v>161</v>
      </c>
      <c r="B12" s="21" t="s">
        <v>655</v>
      </c>
      <c r="C12" s="20">
        <v>78</v>
      </c>
      <c r="D12" s="15">
        <f>INDEX('Scored Shortlist'!$I$4:$I$203,MATCH(A12&amp;"|JD3",'Scored Shortlist'!$P$4:$P$203,0))</f>
        <v>53</v>
      </c>
      <c r="E12" s="15">
        <f t="shared" ref="E12:E17" si="0">C12-D12</f>
        <v>25</v>
      </c>
      <c r="F12" s="19" t="s">
        <v>656</v>
      </c>
    </row>
    <row r="13" spans="1:7" ht="55.5" customHeight="1" x14ac:dyDescent="0.25">
      <c r="A13" s="19" t="s">
        <v>274</v>
      </c>
      <c r="B13" s="21" t="s">
        <v>657</v>
      </c>
      <c r="C13" s="20">
        <v>50</v>
      </c>
      <c r="D13" s="15">
        <f>INDEX('Scored Shortlist'!$I$4:$I$203,MATCH(A13&amp;"|JD3",'Scored Shortlist'!$P$4:$P$203,0))</f>
        <v>41</v>
      </c>
      <c r="E13" s="15">
        <f t="shared" si="0"/>
        <v>9</v>
      </c>
      <c r="F13" s="19" t="s">
        <v>656</v>
      </c>
    </row>
    <row r="14" spans="1:7" ht="55.5" customHeight="1" x14ac:dyDescent="0.25">
      <c r="A14" s="19" t="s">
        <v>153</v>
      </c>
      <c r="B14" s="21" t="s">
        <v>658</v>
      </c>
      <c r="C14" s="20">
        <v>60</v>
      </c>
      <c r="D14" s="15">
        <f>INDEX('Scored Shortlist'!$I$4:$I$203,MATCH(A14&amp;"|JD3",'Scored Shortlist'!$P$4:$P$203,0))</f>
        <v>55</v>
      </c>
      <c r="E14" s="15">
        <f t="shared" si="0"/>
        <v>5</v>
      </c>
      <c r="F14" s="19" t="s">
        <v>659</v>
      </c>
    </row>
    <row r="15" spans="1:7" ht="42.75" customHeight="1" x14ac:dyDescent="0.25">
      <c r="A15" s="19" t="s">
        <v>286</v>
      </c>
      <c r="B15" s="21" t="s">
        <v>660</v>
      </c>
      <c r="C15" s="20">
        <v>62</v>
      </c>
      <c r="D15" s="15">
        <f>INDEX('Scored Shortlist'!$I$4:$I$203,MATCH(A15&amp;"|JD3",'Scored Shortlist'!$P$4:$P$203,0))</f>
        <v>40</v>
      </c>
      <c r="E15" s="15">
        <f t="shared" si="0"/>
        <v>22</v>
      </c>
      <c r="F15" s="19" t="s">
        <v>661</v>
      </c>
    </row>
    <row r="16" spans="1:7" ht="55.5" customHeight="1" x14ac:dyDescent="0.25">
      <c r="A16" s="19" t="s">
        <v>139</v>
      </c>
      <c r="B16" s="21" t="s">
        <v>662</v>
      </c>
      <c r="C16" s="20">
        <v>80</v>
      </c>
      <c r="D16" s="15">
        <f>INDEX('Scored Shortlist'!$I$4:$I$203,MATCH(A16&amp;"|JD3",'Scored Shortlist'!$P$4:$P$203,0))</f>
        <v>57</v>
      </c>
      <c r="E16" s="15">
        <f t="shared" si="0"/>
        <v>23</v>
      </c>
      <c r="F16" s="19" t="s">
        <v>656</v>
      </c>
    </row>
    <row r="17" spans="1:7" x14ac:dyDescent="0.25">
      <c r="A17" s="14" t="s">
        <v>663</v>
      </c>
      <c r="C17" s="23">
        <f>AVERAGE(C12:C16)</f>
        <v>66</v>
      </c>
      <c r="D17" s="23">
        <f>AVERAGE(D12:D16)</f>
        <v>49.2</v>
      </c>
      <c r="E17" s="23">
        <f t="shared" si="0"/>
        <v>16.799999999999997</v>
      </c>
      <c r="F17" s="14" t="str">
        <f>COUNTIF(F12:F16,"Yes*")&amp;" of 5 cite a non-job attribute"</f>
        <v>4 of 5 cite a non-job attribute</v>
      </c>
    </row>
    <row r="19" spans="1:7" ht="14" x14ac:dyDescent="0.3">
      <c r="A19" s="18" t="s">
        <v>664</v>
      </c>
    </row>
    <row r="20" spans="1:7" x14ac:dyDescent="0.25">
      <c r="A20" s="13" t="s">
        <v>615</v>
      </c>
      <c r="B20" s="13" t="s">
        <v>665</v>
      </c>
      <c r="C20" s="13" t="s">
        <v>666</v>
      </c>
      <c r="D20" s="13" t="s">
        <v>667</v>
      </c>
      <c r="E20" s="13" t="s">
        <v>620</v>
      </c>
      <c r="F20" s="13"/>
      <c r="G20" s="13"/>
    </row>
    <row r="21" spans="1:7" ht="109.5" customHeight="1" x14ac:dyDescent="0.25">
      <c r="A21" s="14" t="s">
        <v>668</v>
      </c>
      <c r="B21" s="19" t="s">
        <v>669</v>
      </c>
      <c r="C21" s="21" t="s">
        <v>670</v>
      </c>
      <c r="D21" s="19" t="s">
        <v>671</v>
      </c>
      <c r="E21" s="19" t="s">
        <v>672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" sqref="F1"/>
    </sheetView>
  </sheetViews>
  <sheetFormatPr defaultColWidth="8.6328125" defaultRowHeight="12.9" x14ac:dyDescent="0.25"/>
  <cols>
    <col min="1" max="1" width="11" customWidth="1"/>
    <col min="2" max="2" width="6" customWidth="1"/>
    <col min="3" max="3" width="14" customWidth="1"/>
    <col min="4" max="4" width="7" customWidth="1"/>
    <col min="5" max="5" width="55" customWidth="1"/>
    <col min="6" max="6" width="14" customWidth="1"/>
    <col min="7" max="7" width="30" customWidth="1"/>
    <col min="8" max="11" width="7" customWidth="1"/>
    <col min="12" max="13" width="8" customWidth="1"/>
    <col min="14" max="14" width="7" customWidth="1"/>
    <col min="15" max="15" width="8" customWidth="1"/>
    <col min="16" max="19" width="7" customWidth="1"/>
    <col min="20" max="21" width="8" customWidth="1"/>
    <col min="22" max="25" width="7" customWidth="1"/>
    <col min="26" max="26" width="8" customWidth="1"/>
    <col min="27" max="27" width="7" customWidth="1"/>
    <col min="28" max="28" width="10" customWidth="1"/>
    <col min="29" max="29" width="14" customWidth="1"/>
    <col min="30" max="30" width="10" customWidth="1"/>
  </cols>
  <sheetData>
    <row r="1" spans="1:30" ht="17.75" x14ac:dyDescent="0.35">
      <c r="A1" s="4" t="s">
        <v>673</v>
      </c>
    </row>
    <row r="2" spans="1:30" ht="13.45" x14ac:dyDescent="0.3">
      <c r="A2" s="12" t="s">
        <v>674</v>
      </c>
    </row>
    <row r="3" spans="1:30" ht="38.700000000000003" x14ac:dyDescent="0.25">
      <c r="A3" s="13" t="s">
        <v>75</v>
      </c>
      <c r="B3" s="13" t="s">
        <v>83</v>
      </c>
      <c r="C3" s="13" t="s">
        <v>562</v>
      </c>
      <c r="D3" s="13" t="s">
        <v>675</v>
      </c>
      <c r="E3" s="13" t="s">
        <v>676</v>
      </c>
      <c r="F3" s="13" t="s">
        <v>677</v>
      </c>
      <c r="G3" s="13" t="s">
        <v>678</v>
      </c>
      <c r="H3" s="13" t="s">
        <v>679</v>
      </c>
      <c r="I3" s="13" t="s">
        <v>680</v>
      </c>
      <c r="J3" s="13" t="s">
        <v>681</v>
      </c>
      <c r="K3" s="13" t="s">
        <v>682</v>
      </c>
      <c r="L3" s="13" t="s">
        <v>683</v>
      </c>
      <c r="M3" s="13" t="s">
        <v>684</v>
      </c>
      <c r="N3" s="13" t="s">
        <v>685</v>
      </c>
      <c r="O3" s="13" t="s">
        <v>686</v>
      </c>
      <c r="P3" s="13" t="s">
        <v>687</v>
      </c>
      <c r="Q3" s="13" t="s">
        <v>688</v>
      </c>
      <c r="R3" s="13" t="s">
        <v>689</v>
      </c>
      <c r="S3" s="13" t="s">
        <v>690</v>
      </c>
      <c r="T3" s="13" t="s">
        <v>691</v>
      </c>
      <c r="U3" s="13" t="s">
        <v>692</v>
      </c>
      <c r="V3" s="13" t="s">
        <v>693</v>
      </c>
      <c r="W3" s="13" t="s">
        <v>694</v>
      </c>
      <c r="X3" s="13" t="s">
        <v>695</v>
      </c>
      <c r="Y3" s="13" t="s">
        <v>696</v>
      </c>
      <c r="Z3" s="13" t="s">
        <v>697</v>
      </c>
      <c r="AA3" s="13" t="s">
        <v>698</v>
      </c>
      <c r="AB3" s="13" t="s">
        <v>699</v>
      </c>
      <c r="AC3" s="13" t="s">
        <v>700</v>
      </c>
      <c r="AD3" s="13" t="s">
        <v>701</v>
      </c>
    </row>
    <row r="4" spans="1:30" x14ac:dyDescent="0.25">
      <c r="A4" s="24" t="str">
        <f>'Scored Shortlist'!A4</f>
        <v>CV051</v>
      </c>
      <c r="B4" s="24" t="str">
        <f>'Scored Shortlist'!C4</f>
        <v>JD3</v>
      </c>
      <c r="C4" s="24" t="str">
        <f>INDEX(Resumes!$D$2:$D$101,MATCH(A4,Resumes!$A$2:$A$101,0))</f>
        <v>CA</v>
      </c>
      <c r="D4" s="24">
        <f>INDEX(Resumes!$E$2:$E$101,MATCH(A4,Resumes!$A$2:$A$101,0))</f>
        <v>3.4</v>
      </c>
      <c r="E4" s="24" t="str">
        <f>INDEX(Resumes!$G$2:$G$101,MATCH(A4,Resumes!$A$2:$A$101,0))</f>
        <v>valuation, Excel, campaign management, public speaking, Tableau, Google Analytics, product roadmap</v>
      </c>
      <c r="F4" s="24" t="str">
        <f>INDEX(Resumes!$I$2:$I$101,MATCH(A4,Resumes!$A$2:$A$101,0))</f>
        <v>Shreya Shah, CA from a tier-3 institute. 3.4 years of experience, most recently at an IT services firm. Key skills: valuation, Excel, campaign management, public speaking, Tableau, Google Analytics, product roadmap. Achievement: led a 5-member campus marketing team. Career gap: 1-year career break (family).</v>
      </c>
      <c r="G4" s="24" t="str">
        <f t="shared" ref="G4:G35" si="0">MID(F4,FIND("Achievement: ",F4)+13,FIND(". Career gap",F4)-FIND("Achievement: ",F4)-13)</f>
        <v>led a 5-member campus marketing team</v>
      </c>
      <c r="H4" s="24">
        <f>INDEX('Scoring Prompt'!$C$22:$C$23,MATCH(B4,'Scoring Prompt'!$A$22:$A$23,0))</f>
        <v>2</v>
      </c>
      <c r="I4" s="24">
        <f>INDEX('Scoring Prompt'!$D$22:$D$23,MATCH(B4,'Scoring Prompt'!$A$22:$A$23,0))</f>
        <v>4</v>
      </c>
      <c r="J4" s="24">
        <f>INDEX('Scoring Prompt'!$B$27:$C$34,MATCH(C4,'Scoring Prompt'!$A$27:$A$34,0),MATCH(B4,'Scoring Prompt'!$B$26:$C$26,0))</f>
        <v>25</v>
      </c>
      <c r="K4" s="24">
        <f>IF(AND(D4&gt;=H4,D4&lt;=I4),'Scoring Prompt'!$B$47,IF(D4&lt;H4,IF(H4-D4&lt;=1,'Scoring Prompt'!$B$48,IF(H4-D4&lt;=2,'Scoring Prompt'!$B$49,'Scoring Prompt'!$B$50)),IF(D4-I4&lt;=2,'Scoring Prompt'!$B$51,'Scoring Prompt'!$B$52)))</f>
        <v>25</v>
      </c>
      <c r="L4" s="24">
        <f>IF(B4="JD3",SUMPRODUCT(--ISNUMBER(SEARCH('Scoring Prompt'!$E$22:$I$22,E4))),SUMPRODUCT(--ISNUMBER(SEARCH('Scoring Prompt'!$E$23:$I$23,E4))))</f>
        <v>2</v>
      </c>
      <c r="M4" s="24">
        <f t="shared" ref="M4:M35" si="1">8*L4</f>
        <v>16</v>
      </c>
      <c r="N4" s="24">
        <f>INDEX('Scoring Prompt'!$B$38:$C$43,MATCH(G4,'Scoring Prompt'!$A$38:$A$43,0),MATCH(B4,'Scoring Prompt'!$B$37:$C$37,0))</f>
        <v>3</v>
      </c>
      <c r="O4" s="24">
        <f t="shared" ref="O4:O35" si="2">J4+K4+M4+N4</f>
        <v>69</v>
      </c>
      <c r="P4" s="24">
        <f>'Scored Shortlist'!E4</f>
        <v>25</v>
      </c>
      <c r="Q4" s="24">
        <f>'Scored Shortlist'!F4</f>
        <v>25</v>
      </c>
      <c r="R4" s="24">
        <f>'Scored Shortlist'!G4</f>
        <v>20</v>
      </c>
      <c r="S4" s="24">
        <f>'Scored Shortlist'!H4</f>
        <v>3</v>
      </c>
      <c r="T4" s="24">
        <f>'Scored Shortlist'!I4</f>
        <v>73</v>
      </c>
      <c r="U4" s="24">
        <f>IF('Scored Shortlist'!M4="none",0,(LEN('Scored Shortlist'!M4)-LEN(SUBSTITUTE('Scored Shortlist'!M4,"&lt;-","")))/2)</f>
        <v>1</v>
      </c>
      <c r="V4" s="24">
        <f t="shared" ref="V4:V35" si="3">IF(P4=J4,1,0)</f>
        <v>1</v>
      </c>
      <c r="W4" s="24">
        <f t="shared" ref="W4:W35" si="4">IF(Q4=K4,1,0)</f>
        <v>1</v>
      </c>
      <c r="X4" s="24">
        <f t="shared" ref="X4:X35" si="5">IF(S4=N4,1,0)</f>
        <v>1</v>
      </c>
      <c r="Y4" s="24">
        <f t="shared" ref="Y4:Y35" si="6">R4-M4</f>
        <v>4</v>
      </c>
      <c r="Z4" s="24">
        <f t="shared" ref="Z4:Z35" si="7">4*U4</f>
        <v>4</v>
      </c>
      <c r="AA4" s="24">
        <f t="shared" ref="AA4:AA35" si="8">IF(Y4=Z4,1,0)</f>
        <v>1</v>
      </c>
      <c r="AB4" s="25" t="str">
        <f t="shared" ref="AB4:AB35" si="9">IF(V4+W4+X4+AA4=4,"OK","CHECK")</f>
        <v>OK</v>
      </c>
      <c r="AC4" s="24" t="str">
        <f t="shared" ref="AC4:AC35" si="10">IF(AND(O4&gt;=SL_CUT,M4&gt;=SL_SKILL),"Shortlist",IF(AND(O4&gt;=RV_CUT,M4&gt;=RV_SKILL),"Review","Not shortlisted"))</f>
        <v>Shortlist</v>
      </c>
      <c r="AD4" s="24" t="str">
        <f>IF(ISNUMBER(SEARCH(" "&amp;LEFT('Scored Shortlist'!B4,FIND(" ",'Scored Shortlist'!B4)-1)&amp;" "," "&amp;'Scored Shortlist'!N4&amp;" ")),"YES","no")</f>
        <v>no</v>
      </c>
    </row>
    <row r="5" spans="1:30" x14ac:dyDescent="0.25">
      <c r="A5" s="24" t="str">
        <f>'Scored Shortlist'!A5</f>
        <v>CV019</v>
      </c>
      <c r="B5" s="24" t="str">
        <f>'Scored Shortlist'!C5</f>
        <v>JD3</v>
      </c>
      <c r="C5" s="24" t="str">
        <f>INDEX(Resumes!$D$2:$D$101,MATCH(A5,Resumes!$A$2:$A$101,0))</f>
        <v>MBA Finance</v>
      </c>
      <c r="D5" s="24">
        <f>INDEX(Resumes!$E$2:$E$101,MATCH(A5,Resumes!$A$2:$A$101,0))</f>
        <v>3.5</v>
      </c>
      <c r="E5" s="24" t="str">
        <f>INDEX(Resumes!$G$2:$G$101,MATCH(A5,Resumes!$A$2:$A$101,0))</f>
        <v>SEO, product roadmap, A/B testing, Excel, user research</v>
      </c>
      <c r="F5" s="24" t="str">
        <f>INDEX(Resumes!$I$2:$I$101,MATCH(A5,Resumes!$A$2:$A$101,0))</f>
        <v>Rahul Pawar, MBA Finance from a tier-3 institute. 3.5 years of experience, most recently at a consulting firm. Key skills: SEO, product roadmap, A/B testing, Excel, user research. Achievement: built a Power BI sales dashboard used by 30 managers. Career gap: None.</v>
      </c>
      <c r="G5" s="24" t="str">
        <f t="shared" si="0"/>
        <v>built a Power BI sales dashboard used by 30 managers</v>
      </c>
      <c r="H5" s="24">
        <f>INDEX('Scoring Prompt'!$C$22:$C$23,MATCH(B5,'Scoring Prompt'!$A$22:$A$23,0))</f>
        <v>2</v>
      </c>
      <c r="I5" s="24">
        <f>INDEX('Scoring Prompt'!$D$22:$D$23,MATCH(B5,'Scoring Prompt'!$A$22:$A$23,0))</f>
        <v>4</v>
      </c>
      <c r="J5" s="24">
        <f>INDEX('Scoring Prompt'!$B$27:$C$34,MATCH(C5,'Scoring Prompt'!$A$27:$A$34,0),MATCH(B5,'Scoring Prompt'!$B$26:$C$26,0))</f>
        <v>25</v>
      </c>
      <c r="K5" s="24">
        <f>IF(AND(D5&gt;=H5,D5&lt;=I5),'Scoring Prompt'!$B$47,IF(D5&lt;H5,IF(H5-D5&lt;=1,'Scoring Prompt'!$B$48,IF(H5-D5&lt;=2,'Scoring Prompt'!$B$49,'Scoring Prompt'!$B$50)),IF(D5-I5&lt;=2,'Scoring Prompt'!$B$51,'Scoring Prompt'!$B$52)))</f>
        <v>25</v>
      </c>
      <c r="L5" s="24">
        <f>IF(B5="JD3",SUMPRODUCT(--ISNUMBER(SEARCH('Scoring Prompt'!$E$22:$I$22,E5))),SUMPRODUCT(--ISNUMBER(SEARCH('Scoring Prompt'!$E$23:$I$23,E5))))</f>
        <v>1</v>
      </c>
      <c r="M5" s="24">
        <f t="shared" si="1"/>
        <v>8</v>
      </c>
      <c r="N5" s="24">
        <f>INDEX('Scoring Prompt'!$B$38:$C$43,MATCH(G5,'Scoring Prompt'!$A$38:$A$43,0),MATCH(B5,'Scoring Prompt'!$B$37:$C$37,0))</f>
        <v>10</v>
      </c>
      <c r="O5" s="24">
        <f t="shared" si="2"/>
        <v>68</v>
      </c>
      <c r="P5" s="24">
        <f>'Scored Shortlist'!E5</f>
        <v>25</v>
      </c>
      <c r="Q5" s="24">
        <f>'Scored Shortlist'!F5</f>
        <v>25</v>
      </c>
      <c r="R5" s="24">
        <f>'Scored Shortlist'!G5</f>
        <v>12</v>
      </c>
      <c r="S5" s="24">
        <f>'Scored Shortlist'!H5</f>
        <v>10</v>
      </c>
      <c r="T5" s="24">
        <f>'Scored Shortlist'!I5</f>
        <v>72</v>
      </c>
      <c r="U5" s="24">
        <f>IF('Scored Shortlist'!M5="none",0,(LEN('Scored Shortlist'!M5)-LEN(SUBSTITUTE('Scored Shortlist'!M5,"&lt;-","")))/2)</f>
        <v>1</v>
      </c>
      <c r="V5" s="24">
        <f t="shared" si="3"/>
        <v>1</v>
      </c>
      <c r="W5" s="24">
        <f t="shared" si="4"/>
        <v>1</v>
      </c>
      <c r="X5" s="24">
        <f t="shared" si="5"/>
        <v>1</v>
      </c>
      <c r="Y5" s="24">
        <f t="shared" si="6"/>
        <v>4</v>
      </c>
      <c r="Z5" s="24">
        <f t="shared" si="7"/>
        <v>4</v>
      </c>
      <c r="AA5" s="24">
        <f t="shared" si="8"/>
        <v>1</v>
      </c>
      <c r="AB5" s="25" t="str">
        <f t="shared" si="9"/>
        <v>OK</v>
      </c>
      <c r="AC5" s="24" t="str">
        <f t="shared" si="10"/>
        <v>Review</v>
      </c>
      <c r="AD5" s="24" t="str">
        <f>IF(ISNUMBER(SEARCH(" "&amp;LEFT('Scored Shortlist'!B5,FIND(" ",'Scored Shortlist'!B5)-1)&amp;" "," "&amp;'Scored Shortlist'!N5&amp;" ")),"YES","no")</f>
        <v>no</v>
      </c>
    </row>
    <row r="6" spans="1:30" x14ac:dyDescent="0.25">
      <c r="A6" s="24" t="str">
        <f>'Scored Shortlist'!A6</f>
        <v>CV025</v>
      </c>
      <c r="B6" s="24" t="str">
        <f>'Scored Shortlist'!C6</f>
        <v>JD3</v>
      </c>
      <c r="C6" s="24" t="str">
        <f>INDEX(Resumes!$D$2:$D$101,MATCH(A6,Resumes!$A$2:$A$101,0))</f>
        <v>MBA Finance</v>
      </c>
      <c r="D6" s="24">
        <f>INDEX(Resumes!$E$2:$E$101,MATCH(A6,Resumes!$A$2:$A$101,0))</f>
        <v>5.5</v>
      </c>
      <c r="E6" s="24" t="str">
        <f>INDEX(Resumes!$G$2:$G$101,MATCH(A6,Resumes!$A$2:$A$101,0))</f>
        <v>recruitment, Tableau, financial modelling, inventory planning, vendor management, content writing, valuation, Python</v>
      </c>
      <c r="F6" s="24" t="str">
        <f>INDEX(Resumes!$I$2:$I$101,MATCH(A6,Resumes!$A$2:$A$101,0))</f>
        <v>Kavya Verma, MBA Finance from a tier-3 institute. 5.5 years of experience, most recently at a consulting firm. Key skills: recruitment, Tableau, financial modelling, inventory planning, vendor management, content writing, valuation, Python. Achievement: handled 120 hires in one year. Career gap: 6-month gap (exam preparation).</v>
      </c>
      <c r="G6" s="24" t="str">
        <f t="shared" si="0"/>
        <v>handled 120 hires in one year</v>
      </c>
      <c r="H6" s="24">
        <f>INDEX('Scoring Prompt'!$C$22:$C$23,MATCH(B6,'Scoring Prompt'!$A$22:$A$23,0))</f>
        <v>2</v>
      </c>
      <c r="I6" s="24">
        <f>INDEX('Scoring Prompt'!$D$22:$D$23,MATCH(B6,'Scoring Prompt'!$A$22:$A$23,0))</f>
        <v>4</v>
      </c>
      <c r="J6" s="24">
        <f>INDEX('Scoring Prompt'!$B$27:$C$34,MATCH(C6,'Scoring Prompt'!$A$27:$A$34,0),MATCH(B6,'Scoring Prompt'!$B$26:$C$26,0))</f>
        <v>25</v>
      </c>
      <c r="K6" s="24">
        <f>IF(AND(D6&gt;=H6,D6&lt;=I6),'Scoring Prompt'!$B$47,IF(D6&lt;H6,IF(H6-D6&lt;=1,'Scoring Prompt'!$B$48,IF(H6-D6&lt;=2,'Scoring Prompt'!$B$49,'Scoring Prompt'!$B$50)),IF(D6-I6&lt;=2,'Scoring Prompt'!$B$51,'Scoring Prompt'!$B$52)))</f>
        <v>20</v>
      </c>
      <c r="L6" s="24">
        <f>IF(B6="JD3",SUMPRODUCT(--ISNUMBER(SEARCH('Scoring Prompt'!$E$22:$I$22,E6))),SUMPRODUCT(--ISNUMBER(SEARCH('Scoring Prompt'!$E$23:$I$23,E6))))</f>
        <v>2</v>
      </c>
      <c r="M6" s="24">
        <f t="shared" si="1"/>
        <v>16</v>
      </c>
      <c r="N6" s="24">
        <f>INDEX('Scoring Prompt'!$B$38:$C$43,MATCH(G6,'Scoring Prompt'!$A$38:$A$43,0),MATCH(B6,'Scoring Prompt'!$B$37:$C$37,0))</f>
        <v>3</v>
      </c>
      <c r="O6" s="24">
        <f t="shared" si="2"/>
        <v>64</v>
      </c>
      <c r="P6" s="24">
        <f>'Scored Shortlist'!E6</f>
        <v>25</v>
      </c>
      <c r="Q6" s="24">
        <f>'Scored Shortlist'!F6</f>
        <v>20</v>
      </c>
      <c r="R6" s="24">
        <f>'Scored Shortlist'!G6</f>
        <v>20</v>
      </c>
      <c r="S6" s="24">
        <f>'Scored Shortlist'!H6</f>
        <v>3</v>
      </c>
      <c r="T6" s="24">
        <f>'Scored Shortlist'!I6</f>
        <v>68</v>
      </c>
      <c r="U6" s="24">
        <f>IF('Scored Shortlist'!M6="none",0,(LEN('Scored Shortlist'!M6)-LEN(SUBSTITUTE('Scored Shortlist'!M6,"&lt;-","")))/2)</f>
        <v>1</v>
      </c>
      <c r="V6" s="24">
        <f t="shared" si="3"/>
        <v>1</v>
      </c>
      <c r="W6" s="24">
        <f t="shared" si="4"/>
        <v>1</v>
      </c>
      <c r="X6" s="24">
        <f t="shared" si="5"/>
        <v>1</v>
      </c>
      <c r="Y6" s="24">
        <f t="shared" si="6"/>
        <v>4</v>
      </c>
      <c r="Z6" s="24">
        <f t="shared" si="7"/>
        <v>4</v>
      </c>
      <c r="AA6" s="24">
        <f t="shared" si="8"/>
        <v>1</v>
      </c>
      <c r="AB6" s="25" t="str">
        <f t="shared" si="9"/>
        <v>OK</v>
      </c>
      <c r="AC6" s="24" t="str">
        <f t="shared" si="10"/>
        <v>Shortlist</v>
      </c>
      <c r="AD6" s="24" t="str">
        <f>IF(ISNUMBER(SEARCH(" "&amp;LEFT('Scored Shortlist'!B6,FIND(" ",'Scored Shortlist'!B6)-1)&amp;" "," "&amp;'Scored Shortlist'!N6&amp;" ")),"YES","no")</f>
        <v>no</v>
      </c>
    </row>
    <row r="7" spans="1:30" x14ac:dyDescent="0.25">
      <c r="A7" s="24" t="str">
        <f>'Scored Shortlist'!A7</f>
        <v>CV055</v>
      </c>
      <c r="B7" s="24" t="str">
        <f>'Scored Shortlist'!C7</f>
        <v>JD3</v>
      </c>
      <c r="C7" s="24" t="str">
        <f>INDEX(Resumes!$D$2:$D$101,MATCH(A7,Resumes!$A$2:$A$101,0))</f>
        <v>CA</v>
      </c>
      <c r="D7" s="24">
        <f>INDEX(Resumes!$E$2:$E$101,MATCH(A7,Resumes!$A$2:$A$101,0))</f>
        <v>7.3</v>
      </c>
      <c r="E7" s="24" t="str">
        <f>INDEX(Resumes!$G$2:$G$101,MATCH(A7,Resumes!$A$2:$A$101,0))</f>
        <v>HR analytics, Tableau, employee relations, A/B testing, valuation, SQL, Google Analytics, Excel</v>
      </c>
      <c r="F7" s="24" t="str">
        <f>INDEX(Resumes!$I$2:$I$101,MATCH(A7,Resumes!$A$2:$A$101,0))</f>
        <v>Joseph Jadhav, CA from a tier-3 institute. 7.3 years of experience, most recently at a bank. Key skills: HR analytics, Tableau, employee relations, A/B testing, valuation, SQL, Google Analytics, Excel. Achievement: cut reporting time by 40% by automating Excel reports. Career gap: None.</v>
      </c>
      <c r="G7" s="24" t="str">
        <f t="shared" si="0"/>
        <v>cut reporting time by 40% by automating Excel reports</v>
      </c>
      <c r="H7" s="24">
        <f>INDEX('Scoring Prompt'!$C$22:$C$23,MATCH(B7,'Scoring Prompt'!$A$22:$A$23,0))</f>
        <v>2</v>
      </c>
      <c r="I7" s="24">
        <f>INDEX('Scoring Prompt'!$D$22:$D$23,MATCH(B7,'Scoring Prompt'!$A$22:$A$23,0))</f>
        <v>4</v>
      </c>
      <c r="J7" s="24">
        <f>INDEX('Scoring Prompt'!$B$27:$C$34,MATCH(C7,'Scoring Prompt'!$A$27:$A$34,0),MATCH(B7,'Scoring Prompt'!$B$26:$C$26,0))</f>
        <v>25</v>
      </c>
      <c r="K7" s="24">
        <f>IF(AND(D7&gt;=H7,D7&lt;=I7),'Scoring Prompt'!$B$47,IF(D7&lt;H7,IF(H7-D7&lt;=1,'Scoring Prompt'!$B$48,IF(H7-D7&lt;=2,'Scoring Prompt'!$B$49,'Scoring Prompt'!$B$50)),IF(D7-I7&lt;=2,'Scoring Prompt'!$B$51,'Scoring Prompt'!$B$52)))</f>
        <v>12</v>
      </c>
      <c r="L7" s="24">
        <f>IF(B7="JD3",SUMPRODUCT(--ISNUMBER(SEARCH('Scoring Prompt'!$E$22:$I$22,E7))),SUMPRODUCT(--ISNUMBER(SEARCH('Scoring Prompt'!$E$23:$I$23,E7))))</f>
        <v>2</v>
      </c>
      <c r="M7" s="24">
        <f t="shared" si="1"/>
        <v>16</v>
      </c>
      <c r="N7" s="24">
        <f>INDEX('Scoring Prompt'!$B$38:$C$43,MATCH(G7,'Scoring Prompt'!$A$38:$A$43,0),MATCH(B7,'Scoring Prompt'!$B$37:$C$37,0))</f>
        <v>10</v>
      </c>
      <c r="O7" s="24">
        <f t="shared" si="2"/>
        <v>63</v>
      </c>
      <c r="P7" s="24">
        <f>'Scored Shortlist'!E7</f>
        <v>25</v>
      </c>
      <c r="Q7" s="24">
        <f>'Scored Shortlist'!F7</f>
        <v>12</v>
      </c>
      <c r="R7" s="24">
        <f>'Scored Shortlist'!G7</f>
        <v>20</v>
      </c>
      <c r="S7" s="24">
        <f>'Scored Shortlist'!H7</f>
        <v>10</v>
      </c>
      <c r="T7" s="24">
        <f>'Scored Shortlist'!I7</f>
        <v>67</v>
      </c>
      <c r="U7" s="24">
        <f>IF('Scored Shortlist'!M7="none",0,(LEN('Scored Shortlist'!M7)-LEN(SUBSTITUTE('Scored Shortlist'!M7,"&lt;-","")))/2)</f>
        <v>1</v>
      </c>
      <c r="V7" s="24">
        <f t="shared" si="3"/>
        <v>1</v>
      </c>
      <c r="W7" s="24">
        <f t="shared" si="4"/>
        <v>1</v>
      </c>
      <c r="X7" s="24">
        <f t="shared" si="5"/>
        <v>1</v>
      </c>
      <c r="Y7" s="24">
        <f t="shared" si="6"/>
        <v>4</v>
      </c>
      <c r="Z7" s="24">
        <f t="shared" si="7"/>
        <v>4</v>
      </c>
      <c r="AA7" s="24">
        <f t="shared" si="8"/>
        <v>1</v>
      </c>
      <c r="AB7" s="25" t="str">
        <f t="shared" si="9"/>
        <v>OK</v>
      </c>
      <c r="AC7" s="24" t="str">
        <f t="shared" si="10"/>
        <v>Shortlist</v>
      </c>
      <c r="AD7" s="24" t="str">
        <f>IF(ISNUMBER(SEARCH(" "&amp;LEFT('Scored Shortlist'!B7,FIND(" ",'Scored Shortlist'!B7)-1)&amp;" "," "&amp;'Scored Shortlist'!N7&amp;" ")),"YES","no")</f>
        <v>no</v>
      </c>
    </row>
    <row r="8" spans="1:30" x14ac:dyDescent="0.25">
      <c r="A8" s="24" t="str">
        <f>'Scored Shortlist'!A8</f>
        <v>CV099</v>
      </c>
      <c r="B8" s="24" t="str">
        <f>'Scored Shortlist'!C8</f>
        <v>JD3</v>
      </c>
      <c r="C8" s="24" t="str">
        <f>INDEX(Resumes!$D$2:$D$101,MATCH(A8,Resumes!$A$2:$A$101,0))</f>
        <v>MBA Finance</v>
      </c>
      <c r="D8" s="24">
        <f>INDEX(Resumes!$E$2:$E$101,MATCH(A8,Resumes!$A$2:$A$101,0))</f>
        <v>4.5</v>
      </c>
      <c r="E8" s="24" t="str">
        <f>INDEX(Resumes!$G$2:$G$101,MATCH(A8,Resumes!$A$2:$A$101,0))</f>
        <v>A/B testing, Excel, Python, recruitment, stakeholder management, Tableau, agile</v>
      </c>
      <c r="F8" s="24" t="str">
        <f>INDEX(Resumes!$I$2:$I$101,MATCH(A8,Resumes!$A$2:$A$101,0))</f>
        <v>Tushar Deshmukh, MBA Finance from a tier-2 institute. 4.5 years of experience, most recently at a retail chain. Key skills: A/B testing, Excel, Python, recruitment, stakeholder management, Tableau, agile. Achievement: cut reporting time by 40% by automating Excel reports. Career gap: 1-year career break (family).</v>
      </c>
      <c r="G8" s="24" t="str">
        <f t="shared" si="0"/>
        <v>cut reporting time by 40% by automating Excel reports</v>
      </c>
      <c r="H8" s="24">
        <f>INDEX('Scoring Prompt'!$C$22:$C$23,MATCH(B8,'Scoring Prompt'!$A$22:$A$23,0))</f>
        <v>2</v>
      </c>
      <c r="I8" s="24">
        <f>INDEX('Scoring Prompt'!$D$22:$D$23,MATCH(B8,'Scoring Prompt'!$A$22:$A$23,0))</f>
        <v>4</v>
      </c>
      <c r="J8" s="24">
        <f>INDEX('Scoring Prompt'!$B$27:$C$34,MATCH(C8,'Scoring Prompt'!$A$27:$A$34,0),MATCH(B8,'Scoring Prompt'!$B$26:$C$26,0))</f>
        <v>25</v>
      </c>
      <c r="K8" s="24">
        <f>IF(AND(D8&gt;=H8,D8&lt;=I8),'Scoring Prompt'!$B$47,IF(D8&lt;H8,IF(H8-D8&lt;=1,'Scoring Prompt'!$B$48,IF(H8-D8&lt;=2,'Scoring Prompt'!$B$49,'Scoring Prompt'!$B$50)),IF(D8-I8&lt;=2,'Scoring Prompt'!$B$51,'Scoring Prompt'!$B$52)))</f>
        <v>20</v>
      </c>
      <c r="L8" s="24">
        <f>IF(B8="JD3",SUMPRODUCT(--ISNUMBER(SEARCH('Scoring Prompt'!$E$22:$I$22,E8))),SUMPRODUCT(--ISNUMBER(SEARCH('Scoring Prompt'!$E$23:$I$23,E8))))</f>
        <v>1</v>
      </c>
      <c r="M8" s="24">
        <f t="shared" si="1"/>
        <v>8</v>
      </c>
      <c r="N8" s="24">
        <f>INDEX('Scoring Prompt'!$B$38:$C$43,MATCH(G8,'Scoring Prompt'!$A$38:$A$43,0),MATCH(B8,'Scoring Prompt'!$B$37:$C$37,0))</f>
        <v>10</v>
      </c>
      <c r="O8" s="24">
        <f t="shared" si="2"/>
        <v>63</v>
      </c>
      <c r="P8" s="24">
        <f>'Scored Shortlist'!E8</f>
        <v>25</v>
      </c>
      <c r="Q8" s="24">
        <f>'Scored Shortlist'!F8</f>
        <v>20</v>
      </c>
      <c r="R8" s="24">
        <f>'Scored Shortlist'!G8</f>
        <v>12</v>
      </c>
      <c r="S8" s="24">
        <f>'Scored Shortlist'!H8</f>
        <v>10</v>
      </c>
      <c r="T8" s="24">
        <f>'Scored Shortlist'!I8</f>
        <v>67</v>
      </c>
      <c r="U8" s="24">
        <f>IF('Scored Shortlist'!M8="none",0,(LEN('Scored Shortlist'!M8)-LEN(SUBSTITUTE('Scored Shortlist'!M8,"&lt;-","")))/2)</f>
        <v>1</v>
      </c>
      <c r="V8" s="24">
        <f t="shared" si="3"/>
        <v>1</v>
      </c>
      <c r="W8" s="24">
        <f t="shared" si="4"/>
        <v>1</v>
      </c>
      <c r="X8" s="24">
        <f t="shared" si="5"/>
        <v>1</v>
      </c>
      <c r="Y8" s="24">
        <f t="shared" si="6"/>
        <v>4</v>
      </c>
      <c r="Z8" s="24">
        <f t="shared" si="7"/>
        <v>4</v>
      </c>
      <c r="AA8" s="24">
        <f t="shared" si="8"/>
        <v>1</v>
      </c>
      <c r="AB8" s="25" t="str">
        <f t="shared" si="9"/>
        <v>OK</v>
      </c>
      <c r="AC8" s="24" t="str">
        <f t="shared" si="10"/>
        <v>Review</v>
      </c>
      <c r="AD8" s="24" t="str">
        <f>IF(ISNUMBER(SEARCH(" "&amp;LEFT('Scored Shortlist'!B8,FIND(" ",'Scored Shortlist'!B8)-1)&amp;" "," "&amp;'Scored Shortlist'!N8&amp;" ")),"YES","no")</f>
        <v>no</v>
      </c>
    </row>
    <row r="9" spans="1:30" x14ac:dyDescent="0.25">
      <c r="A9" s="24" t="str">
        <f>'Scored Shortlist'!A9</f>
        <v>CV040</v>
      </c>
      <c r="B9" s="24" t="str">
        <f>'Scored Shortlist'!C9</f>
        <v>JD3</v>
      </c>
      <c r="C9" s="24" t="str">
        <f>INDEX(Resumes!$D$2:$D$101,MATCH(A9,Resumes!$A$2:$A$101,0))</f>
        <v>MBA Finance</v>
      </c>
      <c r="D9" s="24">
        <f>INDEX(Resumes!$E$2:$E$101,MATCH(A9,Resumes!$A$2:$A$101,0))</f>
        <v>5.6</v>
      </c>
      <c r="E9" s="24" t="str">
        <f>INDEX(Resumes!$G$2:$G$101,MATCH(A9,Resumes!$A$2:$A$101,0))</f>
        <v>product roadmap, A/B testing, Power BI, agile, demand forecasting, campaign management</v>
      </c>
      <c r="F9" s="24" t="str">
        <f>INDEX(Resumes!$I$2:$I$101,MATCH(A9,Resumes!$A$2:$A$101,0))</f>
        <v>Deepak Desai, MBA Finance from a tier-1 institute. 5.6 years of experience, most recently at a retail chain. Key skills: product roadmap, A/B testing, Power BI, agile, demand forecasting, campaign management. Achievement: built a Power BI sales dashboard used by 30 managers. Career gap: 6-month gap (exam preparation).</v>
      </c>
      <c r="G9" s="24" t="str">
        <f t="shared" si="0"/>
        <v>built a Power BI sales dashboard used by 30 managers</v>
      </c>
      <c r="H9" s="24">
        <f>INDEX('Scoring Prompt'!$C$22:$C$23,MATCH(B9,'Scoring Prompt'!$A$22:$A$23,0))</f>
        <v>2</v>
      </c>
      <c r="I9" s="24">
        <f>INDEX('Scoring Prompt'!$D$22:$D$23,MATCH(B9,'Scoring Prompt'!$A$22:$A$23,0))</f>
        <v>4</v>
      </c>
      <c r="J9" s="24">
        <f>INDEX('Scoring Prompt'!$B$27:$C$34,MATCH(C9,'Scoring Prompt'!$A$27:$A$34,0),MATCH(B9,'Scoring Prompt'!$B$26:$C$26,0))</f>
        <v>25</v>
      </c>
      <c r="K9" s="24">
        <f>IF(AND(D9&gt;=H9,D9&lt;=I9),'Scoring Prompt'!$B$47,IF(D9&lt;H9,IF(H9-D9&lt;=1,'Scoring Prompt'!$B$48,IF(H9-D9&lt;=2,'Scoring Prompt'!$B$49,'Scoring Prompt'!$B$50)),IF(D9-I9&lt;=2,'Scoring Prompt'!$B$51,'Scoring Prompt'!$B$52)))</f>
        <v>20</v>
      </c>
      <c r="L9" s="24">
        <f>IF(B9="JD3",SUMPRODUCT(--ISNUMBER(SEARCH('Scoring Prompt'!$E$22:$I$22,E9))),SUMPRODUCT(--ISNUMBER(SEARCH('Scoring Prompt'!$E$23:$I$23,E9))))</f>
        <v>1</v>
      </c>
      <c r="M9" s="24">
        <f t="shared" si="1"/>
        <v>8</v>
      </c>
      <c r="N9" s="24">
        <f>INDEX('Scoring Prompt'!$B$38:$C$43,MATCH(G9,'Scoring Prompt'!$A$38:$A$43,0),MATCH(B9,'Scoring Prompt'!$B$37:$C$37,0))</f>
        <v>10</v>
      </c>
      <c r="O9" s="24">
        <f t="shared" si="2"/>
        <v>63</v>
      </c>
      <c r="P9" s="24">
        <f>'Scored Shortlist'!E9</f>
        <v>25</v>
      </c>
      <c r="Q9" s="24">
        <f>'Scored Shortlist'!F9</f>
        <v>20</v>
      </c>
      <c r="R9" s="24">
        <f>'Scored Shortlist'!G9</f>
        <v>8</v>
      </c>
      <c r="S9" s="24">
        <f>'Scored Shortlist'!H9</f>
        <v>10</v>
      </c>
      <c r="T9" s="24">
        <f>'Scored Shortlist'!I9</f>
        <v>63</v>
      </c>
      <c r="U9" s="24">
        <f>IF('Scored Shortlist'!M9="none",0,(LEN('Scored Shortlist'!M9)-LEN(SUBSTITUTE('Scored Shortlist'!M9,"&lt;-","")))/2)</f>
        <v>0</v>
      </c>
      <c r="V9" s="24">
        <f t="shared" si="3"/>
        <v>1</v>
      </c>
      <c r="W9" s="24">
        <f t="shared" si="4"/>
        <v>1</v>
      </c>
      <c r="X9" s="24">
        <f t="shared" si="5"/>
        <v>1</v>
      </c>
      <c r="Y9" s="24">
        <f t="shared" si="6"/>
        <v>0</v>
      </c>
      <c r="Z9" s="24">
        <f t="shared" si="7"/>
        <v>0</v>
      </c>
      <c r="AA9" s="24">
        <f t="shared" si="8"/>
        <v>1</v>
      </c>
      <c r="AB9" s="25" t="str">
        <f t="shared" si="9"/>
        <v>OK</v>
      </c>
      <c r="AC9" s="24" t="str">
        <f t="shared" si="10"/>
        <v>Review</v>
      </c>
      <c r="AD9" s="24" t="str">
        <f>IF(ISNUMBER(SEARCH(" "&amp;LEFT('Scored Shortlist'!B9,FIND(" ",'Scored Shortlist'!B9)-1)&amp;" "," "&amp;'Scored Shortlist'!N9&amp;" ")),"YES","no")</f>
        <v>no</v>
      </c>
    </row>
    <row r="10" spans="1:30" x14ac:dyDescent="0.25">
      <c r="A10" s="24" t="str">
        <f>'Scored Shortlist'!A10</f>
        <v>CV052</v>
      </c>
      <c r="B10" s="24" t="str">
        <f>'Scored Shortlist'!C10</f>
        <v>JD3</v>
      </c>
      <c r="C10" s="24" t="str">
        <f>INDEX(Resumes!$D$2:$D$101,MATCH(A10,Resumes!$A$2:$A$101,0))</f>
        <v>B.Tech + MBA</v>
      </c>
      <c r="D10" s="24">
        <f>INDEX(Resumes!$E$2:$E$101,MATCH(A10,Resumes!$A$2:$A$101,0))</f>
        <v>3.2</v>
      </c>
      <c r="E10" s="24" t="str">
        <f>INDEX(Resumes!$G$2:$G$101,MATCH(A10,Resumes!$A$2:$A$101,0))</f>
        <v>recruitment, Tableau, financial modelling, product roadmap, agile, inventory planning</v>
      </c>
      <c r="F10" s="24" t="str">
        <f>INDEX(Resumes!$I$2:$I$101,MATCH(A10,Resumes!$A$2:$A$101,0))</f>
        <v>Sneha Verma, B.Tech + MBA from a tier-3 institute. 3.2 years of experience, most recently at a manufacturing company. Key skills: recruitment, Tableau, financial modelling, product roadmap, agile, inventory planning. Achievement: cut reporting time by 40% by automating Excel reports. Career gap: None.</v>
      </c>
      <c r="G10" s="24" t="str">
        <f t="shared" si="0"/>
        <v>cut reporting time by 40% by automating Excel reports</v>
      </c>
      <c r="H10" s="24">
        <f>INDEX('Scoring Prompt'!$C$22:$C$23,MATCH(B10,'Scoring Prompt'!$A$22:$A$23,0))</f>
        <v>2</v>
      </c>
      <c r="I10" s="24">
        <f>INDEX('Scoring Prompt'!$D$22:$D$23,MATCH(B10,'Scoring Prompt'!$A$22:$A$23,0))</f>
        <v>4</v>
      </c>
      <c r="J10" s="24">
        <f>INDEX('Scoring Prompt'!$B$27:$C$34,MATCH(C10,'Scoring Prompt'!$A$27:$A$34,0),MATCH(B10,'Scoring Prompt'!$B$26:$C$26,0))</f>
        <v>12</v>
      </c>
      <c r="K10" s="24">
        <f>IF(AND(D10&gt;=H10,D10&lt;=I10),'Scoring Prompt'!$B$47,IF(D10&lt;H10,IF(H10-D10&lt;=1,'Scoring Prompt'!$B$48,IF(H10-D10&lt;=2,'Scoring Prompt'!$B$49,'Scoring Prompt'!$B$50)),IF(D10-I10&lt;=2,'Scoring Prompt'!$B$51,'Scoring Prompt'!$B$52)))</f>
        <v>25</v>
      </c>
      <c r="L10" s="24">
        <f>IF(B10="JD3",SUMPRODUCT(--ISNUMBER(SEARCH('Scoring Prompt'!$E$22:$I$22,E10))),SUMPRODUCT(--ISNUMBER(SEARCH('Scoring Prompt'!$E$23:$I$23,E10))))</f>
        <v>1</v>
      </c>
      <c r="M10" s="24">
        <f t="shared" si="1"/>
        <v>8</v>
      </c>
      <c r="N10" s="24">
        <f>INDEX('Scoring Prompt'!$B$38:$C$43,MATCH(G10,'Scoring Prompt'!$A$38:$A$43,0),MATCH(B10,'Scoring Prompt'!$B$37:$C$37,0))</f>
        <v>10</v>
      </c>
      <c r="O10" s="24">
        <f t="shared" si="2"/>
        <v>55</v>
      </c>
      <c r="P10" s="24">
        <f>'Scored Shortlist'!E10</f>
        <v>12</v>
      </c>
      <c r="Q10" s="24">
        <f>'Scored Shortlist'!F10</f>
        <v>25</v>
      </c>
      <c r="R10" s="24">
        <f>'Scored Shortlist'!G10</f>
        <v>16</v>
      </c>
      <c r="S10" s="24">
        <f>'Scored Shortlist'!H10</f>
        <v>10</v>
      </c>
      <c r="T10" s="24">
        <f>'Scored Shortlist'!I10</f>
        <v>63</v>
      </c>
      <c r="U10" s="24">
        <f>IF('Scored Shortlist'!M10="none",0,(LEN('Scored Shortlist'!M10)-LEN(SUBSTITUTE('Scored Shortlist'!M10,"&lt;-","")))/2)</f>
        <v>2</v>
      </c>
      <c r="V10" s="24">
        <f t="shared" si="3"/>
        <v>1</v>
      </c>
      <c r="W10" s="24">
        <f t="shared" si="4"/>
        <v>1</v>
      </c>
      <c r="X10" s="24">
        <f t="shared" si="5"/>
        <v>1</v>
      </c>
      <c r="Y10" s="24">
        <f t="shared" si="6"/>
        <v>8</v>
      </c>
      <c r="Z10" s="24">
        <f t="shared" si="7"/>
        <v>8</v>
      </c>
      <c r="AA10" s="24">
        <f t="shared" si="8"/>
        <v>1</v>
      </c>
      <c r="AB10" s="25" t="str">
        <f t="shared" si="9"/>
        <v>OK</v>
      </c>
      <c r="AC10" s="24" t="str">
        <f t="shared" si="10"/>
        <v>Review</v>
      </c>
      <c r="AD10" s="24" t="str">
        <f>IF(ISNUMBER(SEARCH(" "&amp;LEFT('Scored Shortlist'!B10,FIND(" ",'Scored Shortlist'!B10)-1)&amp;" "," "&amp;'Scored Shortlist'!N10&amp;" ")),"YES","no")</f>
        <v>no</v>
      </c>
    </row>
    <row r="11" spans="1:30" x14ac:dyDescent="0.25">
      <c r="A11" s="24" t="str">
        <f>'Scored Shortlist'!A11</f>
        <v>CV089</v>
      </c>
      <c r="B11" s="24" t="str">
        <f>'Scored Shortlist'!C11</f>
        <v>JD3</v>
      </c>
      <c r="C11" s="24" t="str">
        <f>INDEX(Resumes!$D$2:$D$101,MATCH(A11,Resumes!$A$2:$A$101,0))</f>
        <v>MBA Marketing</v>
      </c>
      <c r="D11" s="24">
        <f>INDEX(Resumes!$E$2:$E$101,MATCH(A11,Resumes!$A$2:$A$101,0))</f>
        <v>3.5</v>
      </c>
      <c r="E11" s="24" t="str">
        <f>INDEX(Resumes!$G$2:$G$101,MATCH(A11,Resumes!$A$2:$A$101,0))</f>
        <v>HR analytics, campaign management, SAP MM, SQL, Power BI, negotiation, content writing, Excel</v>
      </c>
      <c r="F11" s="24" t="str">
        <f>INDEX(Resumes!$I$2:$I$101,MATCH(A11,Resumes!$A$2:$A$101,0))</f>
        <v>Riya Mehta, MBA Marketing from a tier-2 institute. 3.5 years of experience, most recently at a fintech start-up. Key skills: HR analytics, campaign management, SAP MM, SQL, Power BI, negotiation, content writing, Excel. Achievement: cut reporting time by 40% by automating Excel reports. Career gap: 6-month gap (exam preparation).</v>
      </c>
      <c r="G11" s="24" t="str">
        <f t="shared" si="0"/>
        <v>cut reporting time by 40% by automating Excel reports</v>
      </c>
      <c r="H11" s="24">
        <f>INDEX('Scoring Prompt'!$C$22:$C$23,MATCH(B11,'Scoring Prompt'!$A$22:$A$23,0))</f>
        <v>2</v>
      </c>
      <c r="I11" s="24">
        <f>INDEX('Scoring Prompt'!$D$22:$D$23,MATCH(B11,'Scoring Prompt'!$A$22:$A$23,0))</f>
        <v>4</v>
      </c>
      <c r="J11" s="24">
        <f>INDEX('Scoring Prompt'!$B$27:$C$34,MATCH(C11,'Scoring Prompt'!$A$27:$A$34,0),MATCH(B11,'Scoring Prompt'!$B$26:$C$26,0))</f>
        <v>12</v>
      </c>
      <c r="K11" s="24">
        <f>IF(AND(D11&gt;=H11,D11&lt;=I11),'Scoring Prompt'!$B$47,IF(D11&lt;H11,IF(H11-D11&lt;=1,'Scoring Prompt'!$B$48,IF(H11-D11&lt;=2,'Scoring Prompt'!$B$49,'Scoring Prompt'!$B$50)),IF(D11-I11&lt;=2,'Scoring Prompt'!$B$51,'Scoring Prompt'!$B$52)))</f>
        <v>25</v>
      </c>
      <c r="L11" s="24">
        <f>IF(B11="JD3",SUMPRODUCT(--ISNUMBER(SEARCH('Scoring Prompt'!$E$22:$I$22,E11))),SUMPRODUCT(--ISNUMBER(SEARCH('Scoring Prompt'!$E$23:$I$23,E11))))</f>
        <v>2</v>
      </c>
      <c r="M11" s="24">
        <f t="shared" si="1"/>
        <v>16</v>
      </c>
      <c r="N11" s="24">
        <f>INDEX('Scoring Prompt'!$B$38:$C$43,MATCH(G11,'Scoring Prompt'!$A$38:$A$43,0),MATCH(B11,'Scoring Prompt'!$B$37:$C$37,0))</f>
        <v>10</v>
      </c>
      <c r="O11" s="24">
        <f t="shared" si="2"/>
        <v>63</v>
      </c>
      <c r="P11" s="24">
        <f>'Scored Shortlist'!E11</f>
        <v>12</v>
      </c>
      <c r="Q11" s="24">
        <f>'Scored Shortlist'!F11</f>
        <v>25</v>
      </c>
      <c r="R11" s="24">
        <f>'Scored Shortlist'!G11</f>
        <v>16</v>
      </c>
      <c r="S11" s="24">
        <f>'Scored Shortlist'!H11</f>
        <v>10</v>
      </c>
      <c r="T11" s="24">
        <f>'Scored Shortlist'!I11</f>
        <v>63</v>
      </c>
      <c r="U11" s="24">
        <f>IF('Scored Shortlist'!M11="none",0,(LEN('Scored Shortlist'!M11)-LEN(SUBSTITUTE('Scored Shortlist'!M11,"&lt;-","")))/2)</f>
        <v>0</v>
      </c>
      <c r="V11" s="24">
        <f t="shared" si="3"/>
        <v>1</v>
      </c>
      <c r="W11" s="24">
        <f t="shared" si="4"/>
        <v>1</v>
      </c>
      <c r="X11" s="24">
        <f t="shared" si="5"/>
        <v>1</v>
      </c>
      <c r="Y11" s="24">
        <f t="shared" si="6"/>
        <v>0</v>
      </c>
      <c r="Z11" s="24">
        <f t="shared" si="7"/>
        <v>0</v>
      </c>
      <c r="AA11" s="24">
        <f t="shared" si="8"/>
        <v>1</v>
      </c>
      <c r="AB11" s="25" t="str">
        <f t="shared" si="9"/>
        <v>OK</v>
      </c>
      <c r="AC11" s="24" t="str">
        <f t="shared" si="10"/>
        <v>Shortlist</v>
      </c>
      <c r="AD11" s="24" t="str">
        <f>IF(ISNUMBER(SEARCH(" "&amp;LEFT('Scored Shortlist'!B11,FIND(" ",'Scored Shortlist'!B11)-1)&amp;" "," "&amp;'Scored Shortlist'!N11&amp;" ")),"YES","no")</f>
        <v>no</v>
      </c>
    </row>
    <row r="12" spans="1:30" x14ac:dyDescent="0.25">
      <c r="A12" s="24" t="str">
        <f>'Scored Shortlist'!A12</f>
        <v>CV044</v>
      </c>
      <c r="B12" s="24" t="str">
        <f>'Scored Shortlist'!C12</f>
        <v>JD3</v>
      </c>
      <c r="C12" s="24" t="str">
        <f>INDEX(Resumes!$D$2:$D$101,MATCH(A12,Resumes!$A$2:$A$101,0))</f>
        <v>CA</v>
      </c>
      <c r="D12" s="24">
        <f>INDEX(Resumes!$E$2:$E$101,MATCH(A12,Resumes!$A$2:$A$101,0))</f>
        <v>7.2</v>
      </c>
      <c r="E12" s="24" t="str">
        <f>INDEX(Resumes!$G$2:$G$101,MATCH(A12,Resumes!$A$2:$A$101,0))</f>
        <v>employee relations, SEO, valuation, agile, demand forecasting, negotiation, recruitment, content writing</v>
      </c>
      <c r="F12" s="24" t="str">
        <f>INDEX(Resumes!$I$2:$I$101,MATCH(A12,Resumes!$A$2:$A$101,0))</f>
        <v>Nisha Banerjee, CA from a tier-3 institute. 7.2 years of experience, most recently at an IT services firm. Key skills: employee relations, SEO, valuation, agile, demand forecasting, negotiation, recruitment, content writing. Achievement: built a Power BI sales dashboard used by 30 managers. Career gap: None.</v>
      </c>
      <c r="G12" s="24" t="str">
        <f t="shared" si="0"/>
        <v>built a Power BI sales dashboard used by 30 managers</v>
      </c>
      <c r="H12" s="24">
        <f>INDEX('Scoring Prompt'!$C$22:$C$23,MATCH(B12,'Scoring Prompt'!$A$22:$A$23,0))</f>
        <v>2</v>
      </c>
      <c r="I12" s="24">
        <f>INDEX('Scoring Prompt'!$D$22:$D$23,MATCH(B12,'Scoring Prompt'!$A$22:$A$23,0))</f>
        <v>4</v>
      </c>
      <c r="J12" s="24">
        <f>INDEX('Scoring Prompt'!$B$27:$C$34,MATCH(C12,'Scoring Prompt'!$A$27:$A$34,0),MATCH(B12,'Scoring Prompt'!$B$26:$C$26,0))</f>
        <v>25</v>
      </c>
      <c r="K12" s="24">
        <f>IF(AND(D12&gt;=H12,D12&lt;=I12),'Scoring Prompt'!$B$47,IF(D12&lt;H12,IF(H12-D12&lt;=1,'Scoring Prompt'!$B$48,IF(H12-D12&lt;=2,'Scoring Prompt'!$B$49,'Scoring Prompt'!$B$50)),IF(D12-I12&lt;=2,'Scoring Prompt'!$B$51,'Scoring Prompt'!$B$52)))</f>
        <v>12</v>
      </c>
      <c r="L12" s="24">
        <f>IF(B12="JD3",SUMPRODUCT(--ISNUMBER(SEARCH('Scoring Prompt'!$E$22:$I$22,E12))),SUMPRODUCT(--ISNUMBER(SEARCH('Scoring Prompt'!$E$23:$I$23,E12))))</f>
        <v>1</v>
      </c>
      <c r="M12" s="24">
        <f t="shared" si="1"/>
        <v>8</v>
      </c>
      <c r="N12" s="24">
        <f>INDEX('Scoring Prompt'!$B$38:$C$43,MATCH(G12,'Scoring Prompt'!$A$38:$A$43,0),MATCH(B12,'Scoring Prompt'!$B$37:$C$37,0))</f>
        <v>10</v>
      </c>
      <c r="O12" s="24">
        <f t="shared" si="2"/>
        <v>55</v>
      </c>
      <c r="P12" s="24">
        <f>'Scored Shortlist'!E12</f>
        <v>25</v>
      </c>
      <c r="Q12" s="24">
        <f>'Scored Shortlist'!F12</f>
        <v>12</v>
      </c>
      <c r="R12" s="24">
        <f>'Scored Shortlist'!G12</f>
        <v>12</v>
      </c>
      <c r="S12" s="24">
        <f>'Scored Shortlist'!H12</f>
        <v>10</v>
      </c>
      <c r="T12" s="24">
        <f>'Scored Shortlist'!I12</f>
        <v>59</v>
      </c>
      <c r="U12" s="24">
        <f>IF('Scored Shortlist'!M12="none",0,(LEN('Scored Shortlist'!M12)-LEN(SUBSTITUTE('Scored Shortlist'!M12,"&lt;-","")))/2)</f>
        <v>1</v>
      </c>
      <c r="V12" s="24">
        <f t="shared" si="3"/>
        <v>1</v>
      </c>
      <c r="W12" s="24">
        <f t="shared" si="4"/>
        <v>1</v>
      </c>
      <c r="X12" s="24">
        <f t="shared" si="5"/>
        <v>1</v>
      </c>
      <c r="Y12" s="24">
        <f t="shared" si="6"/>
        <v>4</v>
      </c>
      <c r="Z12" s="24">
        <f t="shared" si="7"/>
        <v>4</v>
      </c>
      <c r="AA12" s="24">
        <f t="shared" si="8"/>
        <v>1</v>
      </c>
      <c r="AB12" s="25" t="str">
        <f t="shared" si="9"/>
        <v>OK</v>
      </c>
      <c r="AC12" s="24" t="str">
        <f t="shared" si="10"/>
        <v>Review</v>
      </c>
      <c r="AD12" s="24" t="str">
        <f>IF(ISNUMBER(SEARCH(" "&amp;LEFT('Scored Shortlist'!B12,FIND(" ",'Scored Shortlist'!B12)-1)&amp;" "," "&amp;'Scored Shortlist'!N12&amp;" ")),"YES","no")</f>
        <v>no</v>
      </c>
    </row>
    <row r="13" spans="1:30" x14ac:dyDescent="0.25">
      <c r="A13" s="24" t="str">
        <f>'Scored Shortlist'!A13</f>
        <v>CV096</v>
      </c>
      <c r="B13" s="24" t="str">
        <f>'Scored Shortlist'!C13</f>
        <v>JD3</v>
      </c>
      <c r="C13" s="24" t="str">
        <f>INDEX(Resumes!$D$2:$D$101,MATCH(A13,Resumes!$A$2:$A$101,0))</f>
        <v>MBA Finance</v>
      </c>
      <c r="D13" s="24">
        <f>INDEX(Resumes!$E$2:$E$101,MATCH(A13,Resumes!$A$2:$A$101,0))</f>
        <v>2.4</v>
      </c>
      <c r="E13" s="24" t="str">
        <f>INDEX(Resumes!$G$2:$G$101,MATCH(A13,Resumes!$A$2:$A$101,0))</f>
        <v>Excel, HR analytics, A/B testing, public speaking, vendor management</v>
      </c>
      <c r="F13" s="24" t="str">
        <f>INDEX(Resumes!$I$2:$I$101,MATCH(A13,Resumes!$A$2:$A$101,0))</f>
        <v>Vivaan Nair, MBA Finance from a tier-2 institute. 2.4 years of experience, most recently at a manufacturing company. Key skills: Excel, HR analytics, A/B testing, public speaking, vendor management. Achievement: no major achievement listed. Career gap: 1-year career break (family).</v>
      </c>
      <c r="G13" s="24" t="str">
        <f t="shared" si="0"/>
        <v>no major achievement listed</v>
      </c>
      <c r="H13" s="24">
        <f>INDEX('Scoring Prompt'!$C$22:$C$23,MATCH(B13,'Scoring Prompt'!$A$22:$A$23,0))</f>
        <v>2</v>
      </c>
      <c r="I13" s="24">
        <f>INDEX('Scoring Prompt'!$D$22:$D$23,MATCH(B13,'Scoring Prompt'!$A$22:$A$23,0))</f>
        <v>4</v>
      </c>
      <c r="J13" s="24">
        <f>INDEX('Scoring Prompt'!$B$27:$C$34,MATCH(C13,'Scoring Prompt'!$A$27:$A$34,0),MATCH(B13,'Scoring Prompt'!$B$26:$C$26,0))</f>
        <v>25</v>
      </c>
      <c r="K13" s="24">
        <f>IF(AND(D13&gt;=H13,D13&lt;=I13),'Scoring Prompt'!$B$47,IF(D13&lt;H13,IF(H13-D13&lt;=1,'Scoring Prompt'!$B$48,IF(H13-D13&lt;=2,'Scoring Prompt'!$B$49,'Scoring Prompt'!$B$50)),IF(D13-I13&lt;=2,'Scoring Prompt'!$B$51,'Scoring Prompt'!$B$52)))</f>
        <v>25</v>
      </c>
      <c r="L13" s="24">
        <f>IF(B13="JD3",SUMPRODUCT(--ISNUMBER(SEARCH('Scoring Prompt'!$E$22:$I$22,E13))),SUMPRODUCT(--ISNUMBER(SEARCH('Scoring Prompt'!$E$23:$I$23,E13))))</f>
        <v>1</v>
      </c>
      <c r="M13" s="24">
        <f t="shared" si="1"/>
        <v>8</v>
      </c>
      <c r="N13" s="24">
        <f>INDEX('Scoring Prompt'!$B$38:$C$43,MATCH(G13,'Scoring Prompt'!$A$38:$A$43,0),MATCH(B13,'Scoring Prompt'!$B$37:$C$37,0))</f>
        <v>0</v>
      </c>
      <c r="O13" s="24">
        <f t="shared" si="2"/>
        <v>58</v>
      </c>
      <c r="P13" s="24">
        <f>'Scored Shortlist'!E13</f>
        <v>25</v>
      </c>
      <c r="Q13" s="24">
        <f>'Scored Shortlist'!F13</f>
        <v>25</v>
      </c>
      <c r="R13" s="24">
        <f>'Scored Shortlist'!G13</f>
        <v>8</v>
      </c>
      <c r="S13" s="24">
        <f>'Scored Shortlist'!H13</f>
        <v>0</v>
      </c>
      <c r="T13" s="24">
        <f>'Scored Shortlist'!I13</f>
        <v>58</v>
      </c>
      <c r="U13" s="24">
        <f>IF('Scored Shortlist'!M13="none",0,(LEN('Scored Shortlist'!M13)-LEN(SUBSTITUTE('Scored Shortlist'!M13,"&lt;-","")))/2)</f>
        <v>0</v>
      </c>
      <c r="V13" s="24">
        <f t="shared" si="3"/>
        <v>1</v>
      </c>
      <c r="W13" s="24">
        <f t="shared" si="4"/>
        <v>1</v>
      </c>
      <c r="X13" s="24">
        <f t="shared" si="5"/>
        <v>1</v>
      </c>
      <c r="Y13" s="24">
        <f t="shared" si="6"/>
        <v>0</v>
      </c>
      <c r="Z13" s="24">
        <f t="shared" si="7"/>
        <v>0</v>
      </c>
      <c r="AA13" s="24">
        <f t="shared" si="8"/>
        <v>1</v>
      </c>
      <c r="AB13" s="25" t="str">
        <f t="shared" si="9"/>
        <v>OK</v>
      </c>
      <c r="AC13" s="24" t="str">
        <f t="shared" si="10"/>
        <v>Review</v>
      </c>
      <c r="AD13" s="24" t="str">
        <f>IF(ISNUMBER(SEARCH(" "&amp;LEFT('Scored Shortlist'!B13,FIND(" ",'Scored Shortlist'!B13)-1)&amp;" "," "&amp;'Scored Shortlist'!N13&amp;" ")),"YES","no")</f>
        <v>no</v>
      </c>
    </row>
    <row r="14" spans="1:30" x14ac:dyDescent="0.25">
      <c r="A14" s="24" t="str">
        <f>'Scored Shortlist'!A14</f>
        <v>CV005</v>
      </c>
      <c r="B14" s="24" t="str">
        <f>'Scored Shortlist'!C14</f>
        <v>JD3</v>
      </c>
      <c r="C14" s="24" t="str">
        <f>INDEX(Resumes!$D$2:$D$101,MATCH(A14,Resumes!$A$2:$A$101,0))</f>
        <v>BBA</v>
      </c>
      <c r="D14" s="24">
        <f>INDEX(Resumes!$E$2:$E$101,MATCH(A14,Resumes!$A$2:$A$101,0))</f>
        <v>3</v>
      </c>
      <c r="E14" s="24" t="str">
        <f>INDEX(Resumes!$G$2:$G$101,MATCH(A14,Resumes!$A$2:$A$101,0))</f>
        <v>HR analytics, demand forecasting, SQL, Power BI, financial modelling</v>
      </c>
      <c r="F14" s="24" t="str">
        <f>INDEX(Resumes!$I$2:$I$101,MATCH(A14,Resumes!$A$2:$A$101,0))</f>
        <v>Farhan Patil, BBA from a tier-2 institute. 3.0 years of experience, most recently at a manufacturing company. Key skills: HR analytics, demand forecasting, SQL, Power BI, financial modelling. Achievement: built a Power BI sales dashboard used by 30 managers. Career gap: None.</v>
      </c>
      <c r="G14" s="24" t="str">
        <f t="shared" si="0"/>
        <v>built a Power BI sales dashboard used by 30 managers</v>
      </c>
      <c r="H14" s="24">
        <f>INDEX('Scoring Prompt'!$C$22:$C$23,MATCH(B14,'Scoring Prompt'!$A$22:$A$23,0))</f>
        <v>2</v>
      </c>
      <c r="I14" s="24">
        <f>INDEX('Scoring Prompt'!$D$22:$D$23,MATCH(B14,'Scoring Prompt'!$A$22:$A$23,0))</f>
        <v>4</v>
      </c>
      <c r="J14" s="24">
        <f>INDEX('Scoring Prompt'!$B$27:$C$34,MATCH(C14,'Scoring Prompt'!$A$27:$A$34,0),MATCH(B14,'Scoring Prompt'!$B$26:$C$26,0))</f>
        <v>6</v>
      </c>
      <c r="K14" s="24">
        <f>IF(AND(D14&gt;=H14,D14&lt;=I14),'Scoring Prompt'!$B$47,IF(D14&lt;H14,IF(H14-D14&lt;=1,'Scoring Prompt'!$B$48,IF(H14-D14&lt;=2,'Scoring Prompt'!$B$49,'Scoring Prompt'!$B$50)),IF(D14-I14&lt;=2,'Scoring Prompt'!$B$51,'Scoring Prompt'!$B$52)))</f>
        <v>25</v>
      </c>
      <c r="L14" s="24">
        <f>IF(B14="JD3",SUMPRODUCT(--ISNUMBER(SEARCH('Scoring Prompt'!$E$22:$I$22,E14))),SUMPRODUCT(--ISNUMBER(SEARCH('Scoring Prompt'!$E$23:$I$23,E14))))</f>
        <v>2</v>
      </c>
      <c r="M14" s="24">
        <f t="shared" si="1"/>
        <v>16</v>
      </c>
      <c r="N14" s="24">
        <f>INDEX('Scoring Prompt'!$B$38:$C$43,MATCH(G14,'Scoring Prompt'!$A$38:$A$43,0),MATCH(B14,'Scoring Prompt'!$B$37:$C$37,0))</f>
        <v>10</v>
      </c>
      <c r="O14" s="24">
        <f t="shared" si="2"/>
        <v>57</v>
      </c>
      <c r="P14" s="24">
        <f>'Scored Shortlist'!E14</f>
        <v>6</v>
      </c>
      <c r="Q14" s="24">
        <f>'Scored Shortlist'!F14</f>
        <v>25</v>
      </c>
      <c r="R14" s="24">
        <f>'Scored Shortlist'!G14</f>
        <v>16</v>
      </c>
      <c r="S14" s="24">
        <f>'Scored Shortlist'!H14</f>
        <v>10</v>
      </c>
      <c r="T14" s="24">
        <f>'Scored Shortlist'!I14</f>
        <v>57</v>
      </c>
      <c r="U14" s="24">
        <f>IF('Scored Shortlist'!M14="none",0,(LEN('Scored Shortlist'!M14)-LEN(SUBSTITUTE('Scored Shortlist'!M14,"&lt;-","")))/2)</f>
        <v>0</v>
      </c>
      <c r="V14" s="24">
        <f t="shared" si="3"/>
        <v>1</v>
      </c>
      <c r="W14" s="24">
        <f t="shared" si="4"/>
        <v>1</v>
      </c>
      <c r="X14" s="24">
        <f t="shared" si="5"/>
        <v>1</v>
      </c>
      <c r="Y14" s="24">
        <f t="shared" si="6"/>
        <v>0</v>
      </c>
      <c r="Z14" s="24">
        <f t="shared" si="7"/>
        <v>0</v>
      </c>
      <c r="AA14" s="24">
        <f t="shared" si="8"/>
        <v>1</v>
      </c>
      <c r="AB14" s="25" t="str">
        <f t="shared" si="9"/>
        <v>OK</v>
      </c>
      <c r="AC14" s="24" t="str">
        <f t="shared" si="10"/>
        <v>Review</v>
      </c>
      <c r="AD14" s="24" t="str">
        <f>IF(ISNUMBER(SEARCH(" "&amp;LEFT('Scored Shortlist'!B14,FIND(" ",'Scored Shortlist'!B14)-1)&amp;" "," "&amp;'Scored Shortlist'!N14&amp;" ")),"YES","no")</f>
        <v>no</v>
      </c>
    </row>
    <row r="15" spans="1:30" x14ac:dyDescent="0.25">
      <c r="A15" s="24" t="str">
        <f>'Scored Shortlist'!A15</f>
        <v>CV009</v>
      </c>
      <c r="B15" s="24" t="str">
        <f>'Scored Shortlist'!C15</f>
        <v>JD3</v>
      </c>
      <c r="C15" s="24" t="str">
        <f>INDEX(Resumes!$D$2:$D$101,MATCH(A15,Resumes!$A$2:$A$101,0))</f>
        <v>MBA Finance</v>
      </c>
      <c r="D15" s="24">
        <f>INDEX(Resumes!$E$2:$E$101,MATCH(A15,Resumes!$A$2:$A$101,0))</f>
        <v>5.8</v>
      </c>
      <c r="E15" s="24" t="str">
        <f>INDEX(Resumes!$G$2:$G$101,MATCH(A15,Resumes!$A$2:$A$101,0))</f>
        <v>valuation, A/B testing, product roadmap, user research, vendor management, employee relations</v>
      </c>
      <c r="F15" s="24" t="str">
        <f>INDEX(Resumes!$I$2:$I$101,MATCH(A15,Resumes!$A$2:$A$101,0))</f>
        <v>Vivaan Das, MBA Finance from a tier-2 institute. 5.8 years of experience, most recently at an FMCG distributor. Key skills: valuation, A/B testing, product roadmap, user research, vendor management, employee relations. Achievement: improved vendor on-time delivery from 78% to 92%. Career gap: None.</v>
      </c>
      <c r="G15" s="24" t="str">
        <f t="shared" si="0"/>
        <v>improved vendor on-time delivery from 78% to 92%</v>
      </c>
      <c r="H15" s="24">
        <f>INDEX('Scoring Prompt'!$C$22:$C$23,MATCH(B15,'Scoring Prompt'!$A$22:$A$23,0))</f>
        <v>2</v>
      </c>
      <c r="I15" s="24">
        <f>INDEX('Scoring Prompt'!$D$22:$D$23,MATCH(B15,'Scoring Prompt'!$A$22:$A$23,0))</f>
        <v>4</v>
      </c>
      <c r="J15" s="24">
        <f>INDEX('Scoring Prompt'!$B$27:$C$34,MATCH(C15,'Scoring Prompt'!$A$27:$A$34,0),MATCH(B15,'Scoring Prompt'!$B$26:$C$26,0))</f>
        <v>25</v>
      </c>
      <c r="K15" s="24">
        <f>IF(AND(D15&gt;=H15,D15&lt;=I15),'Scoring Prompt'!$B$47,IF(D15&lt;H15,IF(H15-D15&lt;=1,'Scoring Prompt'!$B$48,IF(H15-D15&lt;=2,'Scoring Prompt'!$B$49,'Scoring Prompt'!$B$50)),IF(D15-I15&lt;=2,'Scoring Prompt'!$B$51,'Scoring Prompt'!$B$52)))</f>
        <v>20</v>
      </c>
      <c r="L15" s="24">
        <f>IF(B15="JD3",SUMPRODUCT(--ISNUMBER(SEARCH('Scoring Prompt'!$E$22:$I$22,E15))),SUMPRODUCT(--ISNUMBER(SEARCH('Scoring Prompt'!$E$23:$I$23,E15))))</f>
        <v>1</v>
      </c>
      <c r="M15" s="24">
        <f t="shared" si="1"/>
        <v>8</v>
      </c>
      <c r="N15" s="24">
        <f>INDEX('Scoring Prompt'!$B$38:$C$43,MATCH(G15,'Scoring Prompt'!$A$38:$A$43,0),MATCH(B15,'Scoring Prompt'!$B$37:$C$37,0))</f>
        <v>4</v>
      </c>
      <c r="O15" s="24">
        <f t="shared" si="2"/>
        <v>57</v>
      </c>
      <c r="P15" s="24">
        <f>'Scored Shortlist'!E15</f>
        <v>25</v>
      </c>
      <c r="Q15" s="24">
        <f>'Scored Shortlist'!F15</f>
        <v>20</v>
      </c>
      <c r="R15" s="24">
        <f>'Scored Shortlist'!G15</f>
        <v>8</v>
      </c>
      <c r="S15" s="24">
        <f>'Scored Shortlist'!H15</f>
        <v>4</v>
      </c>
      <c r="T15" s="24">
        <f>'Scored Shortlist'!I15</f>
        <v>57</v>
      </c>
      <c r="U15" s="24">
        <f>IF('Scored Shortlist'!M15="none",0,(LEN('Scored Shortlist'!M15)-LEN(SUBSTITUTE('Scored Shortlist'!M15,"&lt;-","")))/2)</f>
        <v>0</v>
      </c>
      <c r="V15" s="24">
        <f t="shared" si="3"/>
        <v>1</v>
      </c>
      <c r="W15" s="24">
        <f t="shared" si="4"/>
        <v>1</v>
      </c>
      <c r="X15" s="24">
        <f t="shared" si="5"/>
        <v>1</v>
      </c>
      <c r="Y15" s="24">
        <f t="shared" si="6"/>
        <v>0</v>
      </c>
      <c r="Z15" s="24">
        <f t="shared" si="7"/>
        <v>0</v>
      </c>
      <c r="AA15" s="24">
        <f t="shared" si="8"/>
        <v>1</v>
      </c>
      <c r="AB15" s="25" t="str">
        <f t="shared" si="9"/>
        <v>OK</v>
      </c>
      <c r="AC15" s="24" t="str">
        <f t="shared" si="10"/>
        <v>Review</v>
      </c>
      <c r="AD15" s="24" t="str">
        <f>IF(ISNUMBER(SEARCH(" "&amp;LEFT('Scored Shortlist'!B15,FIND(" ",'Scored Shortlist'!B15)-1)&amp;" "," "&amp;'Scored Shortlist'!N15&amp;" ")),"YES","no")</f>
        <v>no</v>
      </c>
    </row>
    <row r="16" spans="1:30" x14ac:dyDescent="0.25">
      <c r="A16" s="24" t="str">
        <f>'Scored Shortlist'!A16</f>
        <v>CV011</v>
      </c>
      <c r="B16" s="24" t="str">
        <f>'Scored Shortlist'!C16</f>
        <v>JD3</v>
      </c>
      <c r="C16" s="24" t="str">
        <f>INDEX(Resumes!$D$2:$D$101,MATCH(A16,Resumes!$A$2:$A$101,0))</f>
        <v>MBA Marketing</v>
      </c>
      <c r="D16" s="24">
        <f>INDEX(Resumes!$E$2:$E$101,MATCH(A16,Resumes!$A$2:$A$101,0))</f>
        <v>3.5</v>
      </c>
      <c r="E16" s="24" t="str">
        <f>INDEX(Resumes!$G$2:$G$101,MATCH(A16,Resumes!$A$2:$A$101,0))</f>
        <v>Power BI, employee relations, financial modelling, recruitment, demand forecasting, negotiation, Tableau, agile</v>
      </c>
      <c r="F16" s="24" t="str">
        <f>INDEX(Resumes!$I$2:$I$101,MATCH(A16,Resumes!$A$2:$A$101,0))</f>
        <v>Gauri Mishra, MBA Marketing from a tier-2 institute. 3.5 years of experience, most recently at an IT services firm. Key skills: Power BI, employee relations, financial modelling, recruitment, demand forecasting, negotiation, Tableau, agile. Achievement: improved vendor on-time delivery from 78% to 92%. Career gap: None.</v>
      </c>
      <c r="G16" s="24" t="str">
        <f t="shared" si="0"/>
        <v>improved vendor on-time delivery from 78% to 92%</v>
      </c>
      <c r="H16" s="24">
        <f>INDEX('Scoring Prompt'!$C$22:$C$23,MATCH(B16,'Scoring Prompt'!$A$22:$A$23,0))</f>
        <v>2</v>
      </c>
      <c r="I16" s="24">
        <f>INDEX('Scoring Prompt'!$D$22:$D$23,MATCH(B16,'Scoring Prompt'!$A$22:$A$23,0))</f>
        <v>4</v>
      </c>
      <c r="J16" s="24">
        <f>INDEX('Scoring Prompt'!$B$27:$C$34,MATCH(C16,'Scoring Prompt'!$A$27:$A$34,0),MATCH(B16,'Scoring Prompt'!$B$26:$C$26,0))</f>
        <v>12</v>
      </c>
      <c r="K16" s="24">
        <f>IF(AND(D16&gt;=H16,D16&lt;=I16),'Scoring Prompt'!$B$47,IF(D16&lt;H16,IF(H16-D16&lt;=1,'Scoring Prompt'!$B$48,IF(H16-D16&lt;=2,'Scoring Prompt'!$B$49,'Scoring Prompt'!$B$50)),IF(D16-I16&lt;=2,'Scoring Prompt'!$B$51,'Scoring Prompt'!$B$52)))</f>
        <v>25</v>
      </c>
      <c r="L16" s="24">
        <f>IF(B16="JD3",SUMPRODUCT(--ISNUMBER(SEARCH('Scoring Prompt'!$E$22:$I$22,E16))),SUMPRODUCT(--ISNUMBER(SEARCH('Scoring Prompt'!$E$23:$I$23,E16))))</f>
        <v>2</v>
      </c>
      <c r="M16" s="24">
        <f t="shared" si="1"/>
        <v>16</v>
      </c>
      <c r="N16" s="24">
        <f>INDEX('Scoring Prompt'!$B$38:$C$43,MATCH(G16,'Scoring Prompt'!$A$38:$A$43,0),MATCH(B16,'Scoring Prompt'!$B$37:$C$37,0))</f>
        <v>4</v>
      </c>
      <c r="O16" s="24">
        <f t="shared" si="2"/>
        <v>57</v>
      </c>
      <c r="P16" s="24">
        <f>'Scored Shortlist'!E16</f>
        <v>12</v>
      </c>
      <c r="Q16" s="24">
        <f>'Scored Shortlist'!F16</f>
        <v>25</v>
      </c>
      <c r="R16" s="24">
        <f>'Scored Shortlist'!G16</f>
        <v>16</v>
      </c>
      <c r="S16" s="24">
        <f>'Scored Shortlist'!H16</f>
        <v>4</v>
      </c>
      <c r="T16" s="24">
        <f>'Scored Shortlist'!I16</f>
        <v>57</v>
      </c>
      <c r="U16" s="24">
        <f>IF('Scored Shortlist'!M16="none",0,(LEN('Scored Shortlist'!M16)-LEN(SUBSTITUTE('Scored Shortlist'!M16,"&lt;-","")))/2)</f>
        <v>0</v>
      </c>
      <c r="V16" s="24">
        <f t="shared" si="3"/>
        <v>1</v>
      </c>
      <c r="W16" s="24">
        <f t="shared" si="4"/>
        <v>1</v>
      </c>
      <c r="X16" s="24">
        <f t="shared" si="5"/>
        <v>1</v>
      </c>
      <c r="Y16" s="24">
        <f t="shared" si="6"/>
        <v>0</v>
      </c>
      <c r="Z16" s="24">
        <f t="shared" si="7"/>
        <v>0</v>
      </c>
      <c r="AA16" s="24">
        <f t="shared" si="8"/>
        <v>1</v>
      </c>
      <c r="AB16" s="25" t="str">
        <f t="shared" si="9"/>
        <v>OK</v>
      </c>
      <c r="AC16" s="24" t="str">
        <f t="shared" si="10"/>
        <v>Review</v>
      </c>
      <c r="AD16" s="24" t="str">
        <f>IF(ISNUMBER(SEARCH(" "&amp;LEFT('Scored Shortlist'!B16,FIND(" ",'Scored Shortlist'!B16)-1)&amp;" "," "&amp;'Scored Shortlist'!N16&amp;" ")),"YES","no")</f>
        <v>no</v>
      </c>
    </row>
    <row r="17" spans="1:30" x14ac:dyDescent="0.25">
      <c r="A17" s="24" t="str">
        <f>'Scored Shortlist'!A17</f>
        <v>CV073</v>
      </c>
      <c r="B17" s="24" t="str">
        <f>'Scored Shortlist'!C17</f>
        <v>JD3</v>
      </c>
      <c r="C17" s="24" t="str">
        <f>INDEX(Resumes!$D$2:$D$101,MATCH(A17,Resumes!$A$2:$A$101,0))</f>
        <v>CA</v>
      </c>
      <c r="D17" s="24">
        <f>INDEX(Resumes!$E$2:$E$101,MATCH(A17,Resumes!$A$2:$A$101,0))</f>
        <v>7.7</v>
      </c>
      <c r="E17" s="24" t="str">
        <f>INDEX(Resumes!$G$2:$G$101,MATCH(A17,Resumes!$A$2:$A$101,0))</f>
        <v>financial modelling, vendor management, recruitment, inventory planning, Excel, content writing, public speaking</v>
      </c>
      <c r="F17" s="24" t="str">
        <f>INDEX(Resumes!$I$2:$I$101,MATCH(A17,Resumes!$A$2:$A$101,0))</f>
        <v>Gauri Kulkarni, CA from a tier-1 institute. 7.7 years of experience, most recently at an IT services firm. Key skills: financial modelling, vendor management, recruitment, inventory planning, Excel, content writing, public speaking. Achievement: improved vendor on-time delivery from 78% to 92%. Career gap: None.</v>
      </c>
      <c r="G17" s="24" t="str">
        <f t="shared" si="0"/>
        <v>improved vendor on-time delivery from 78% to 92%</v>
      </c>
      <c r="H17" s="24">
        <f>INDEX('Scoring Prompt'!$C$22:$C$23,MATCH(B17,'Scoring Prompt'!$A$22:$A$23,0))</f>
        <v>2</v>
      </c>
      <c r="I17" s="24">
        <f>INDEX('Scoring Prompt'!$D$22:$D$23,MATCH(B17,'Scoring Prompt'!$A$22:$A$23,0))</f>
        <v>4</v>
      </c>
      <c r="J17" s="24">
        <f>INDEX('Scoring Prompt'!$B$27:$C$34,MATCH(C17,'Scoring Prompt'!$A$27:$A$34,0),MATCH(B17,'Scoring Prompt'!$B$26:$C$26,0))</f>
        <v>25</v>
      </c>
      <c r="K17" s="24">
        <f>IF(AND(D17&gt;=H17,D17&lt;=I17),'Scoring Prompt'!$B$47,IF(D17&lt;H17,IF(H17-D17&lt;=1,'Scoring Prompt'!$B$48,IF(H17-D17&lt;=2,'Scoring Prompt'!$B$49,'Scoring Prompt'!$B$50)),IF(D17-I17&lt;=2,'Scoring Prompt'!$B$51,'Scoring Prompt'!$B$52)))</f>
        <v>12</v>
      </c>
      <c r="L17" s="24">
        <f>IF(B17="JD3",SUMPRODUCT(--ISNUMBER(SEARCH('Scoring Prompt'!$E$22:$I$22,E17))),SUMPRODUCT(--ISNUMBER(SEARCH('Scoring Prompt'!$E$23:$I$23,E17))))</f>
        <v>2</v>
      </c>
      <c r="M17" s="24">
        <f t="shared" si="1"/>
        <v>16</v>
      </c>
      <c r="N17" s="24">
        <f>INDEX('Scoring Prompt'!$B$38:$C$43,MATCH(G17,'Scoring Prompt'!$A$38:$A$43,0),MATCH(B17,'Scoring Prompt'!$B$37:$C$37,0))</f>
        <v>4</v>
      </c>
      <c r="O17" s="24">
        <f t="shared" si="2"/>
        <v>57</v>
      </c>
      <c r="P17" s="24">
        <f>'Scored Shortlist'!E17</f>
        <v>25</v>
      </c>
      <c r="Q17" s="24">
        <f>'Scored Shortlist'!F17</f>
        <v>12</v>
      </c>
      <c r="R17" s="24">
        <f>'Scored Shortlist'!G17</f>
        <v>16</v>
      </c>
      <c r="S17" s="24">
        <f>'Scored Shortlist'!H17</f>
        <v>4</v>
      </c>
      <c r="T17" s="24">
        <f>'Scored Shortlist'!I17</f>
        <v>57</v>
      </c>
      <c r="U17" s="24">
        <f>IF('Scored Shortlist'!M17="none",0,(LEN('Scored Shortlist'!M17)-LEN(SUBSTITUTE('Scored Shortlist'!M17,"&lt;-","")))/2)</f>
        <v>0</v>
      </c>
      <c r="V17" s="24">
        <f t="shared" si="3"/>
        <v>1</v>
      </c>
      <c r="W17" s="24">
        <f t="shared" si="4"/>
        <v>1</v>
      </c>
      <c r="X17" s="24">
        <f t="shared" si="5"/>
        <v>1</v>
      </c>
      <c r="Y17" s="24">
        <f t="shared" si="6"/>
        <v>0</v>
      </c>
      <c r="Z17" s="24">
        <f t="shared" si="7"/>
        <v>0</v>
      </c>
      <c r="AA17" s="24">
        <f t="shared" si="8"/>
        <v>1</v>
      </c>
      <c r="AB17" s="25" t="str">
        <f t="shared" si="9"/>
        <v>OK</v>
      </c>
      <c r="AC17" s="24" t="str">
        <f t="shared" si="10"/>
        <v>Review</v>
      </c>
      <c r="AD17" s="24" t="str">
        <f>IF(ISNUMBER(SEARCH(" "&amp;LEFT('Scored Shortlist'!B17,FIND(" ",'Scored Shortlist'!B17)-1)&amp;" "," "&amp;'Scored Shortlist'!N17&amp;" ")),"YES","no")</f>
        <v>no</v>
      </c>
    </row>
    <row r="18" spans="1:30" x14ac:dyDescent="0.25">
      <c r="A18" s="24" t="str">
        <f>'Scored Shortlist'!A18</f>
        <v>CV083</v>
      </c>
      <c r="B18" s="24" t="str">
        <f>'Scored Shortlist'!C18</f>
        <v>JD3</v>
      </c>
      <c r="C18" s="24" t="str">
        <f>INDEX(Resumes!$D$2:$D$101,MATCH(A18,Resumes!$A$2:$A$101,0))</f>
        <v>MBA Finance</v>
      </c>
      <c r="D18" s="24">
        <f>INDEX(Resumes!$E$2:$E$101,MATCH(A18,Resumes!$A$2:$A$101,0))</f>
        <v>8.9</v>
      </c>
      <c r="E18" s="24" t="str">
        <f>INDEX(Resumes!$G$2:$G$101,MATCH(A18,Resumes!$A$2:$A$101,0))</f>
        <v>employee relations, campaign management, SAP MM, A/B testing, Power BI, negotiation, valuation, recruitment</v>
      </c>
      <c r="F18" s="24" t="str">
        <f>INDEX(Resumes!$I$2:$I$101,MATCH(A18,Resumes!$A$2:$A$101,0))</f>
        <v>Aditya Desai, MBA Finance from a tier-2 institute. 8.9 years of experience, most recently at an IT services firm. Key skills: employee relations, campaign management, SAP MM, A/B testing, Power BI, negotiation, valuation, recruitment. Achievement: led a 5-member campus marketing team. Career gap: None.</v>
      </c>
      <c r="G18" s="24" t="str">
        <f t="shared" si="0"/>
        <v>led a 5-member campus marketing team</v>
      </c>
      <c r="H18" s="24">
        <f>INDEX('Scoring Prompt'!$C$22:$C$23,MATCH(B18,'Scoring Prompt'!$A$22:$A$23,0))</f>
        <v>2</v>
      </c>
      <c r="I18" s="24">
        <f>INDEX('Scoring Prompt'!$D$22:$D$23,MATCH(B18,'Scoring Prompt'!$A$22:$A$23,0))</f>
        <v>4</v>
      </c>
      <c r="J18" s="24">
        <f>INDEX('Scoring Prompt'!$B$27:$C$34,MATCH(C18,'Scoring Prompt'!$A$27:$A$34,0),MATCH(B18,'Scoring Prompt'!$B$26:$C$26,0))</f>
        <v>25</v>
      </c>
      <c r="K18" s="24">
        <f>IF(AND(D18&gt;=H18,D18&lt;=I18),'Scoring Prompt'!$B$47,IF(D18&lt;H18,IF(H18-D18&lt;=1,'Scoring Prompt'!$B$48,IF(H18-D18&lt;=2,'Scoring Prompt'!$B$49,'Scoring Prompt'!$B$50)),IF(D18-I18&lt;=2,'Scoring Prompt'!$B$51,'Scoring Prompt'!$B$52)))</f>
        <v>12</v>
      </c>
      <c r="L18" s="24">
        <f>IF(B18="JD3",SUMPRODUCT(--ISNUMBER(SEARCH('Scoring Prompt'!$E$22:$I$22,E18))),SUMPRODUCT(--ISNUMBER(SEARCH('Scoring Prompt'!$E$23:$I$23,E18))))</f>
        <v>2</v>
      </c>
      <c r="M18" s="24">
        <f t="shared" si="1"/>
        <v>16</v>
      </c>
      <c r="N18" s="24">
        <f>INDEX('Scoring Prompt'!$B$38:$C$43,MATCH(G18,'Scoring Prompt'!$A$38:$A$43,0),MATCH(B18,'Scoring Prompt'!$B$37:$C$37,0))</f>
        <v>3</v>
      </c>
      <c r="O18" s="24">
        <f t="shared" si="2"/>
        <v>56</v>
      </c>
      <c r="P18" s="24">
        <f>'Scored Shortlist'!E18</f>
        <v>25</v>
      </c>
      <c r="Q18" s="24">
        <f>'Scored Shortlist'!F18</f>
        <v>12</v>
      </c>
      <c r="R18" s="24">
        <f>'Scored Shortlist'!G18</f>
        <v>16</v>
      </c>
      <c r="S18" s="24">
        <f>'Scored Shortlist'!H18</f>
        <v>3</v>
      </c>
      <c r="T18" s="24">
        <f>'Scored Shortlist'!I18</f>
        <v>56</v>
      </c>
      <c r="U18" s="24">
        <f>IF('Scored Shortlist'!M18="none",0,(LEN('Scored Shortlist'!M18)-LEN(SUBSTITUTE('Scored Shortlist'!M18,"&lt;-","")))/2)</f>
        <v>0</v>
      </c>
      <c r="V18" s="24">
        <f t="shared" si="3"/>
        <v>1</v>
      </c>
      <c r="W18" s="24">
        <f t="shared" si="4"/>
        <v>1</v>
      </c>
      <c r="X18" s="24">
        <f t="shared" si="5"/>
        <v>1</v>
      </c>
      <c r="Y18" s="24">
        <f t="shared" si="6"/>
        <v>0</v>
      </c>
      <c r="Z18" s="24">
        <f t="shared" si="7"/>
        <v>0</v>
      </c>
      <c r="AA18" s="24">
        <f t="shared" si="8"/>
        <v>1</v>
      </c>
      <c r="AB18" s="25" t="str">
        <f t="shared" si="9"/>
        <v>OK</v>
      </c>
      <c r="AC18" s="24" t="str">
        <f t="shared" si="10"/>
        <v>Review</v>
      </c>
      <c r="AD18" s="24" t="str">
        <f>IF(ISNUMBER(SEARCH(" "&amp;LEFT('Scored Shortlist'!B18,FIND(" ",'Scored Shortlist'!B18)-1)&amp;" "," "&amp;'Scored Shortlist'!N18&amp;" ")),"YES","no")</f>
        <v>no</v>
      </c>
    </row>
    <row r="19" spans="1:30" x14ac:dyDescent="0.25">
      <c r="A19" s="24" t="str">
        <f>'Scored Shortlist'!A19</f>
        <v>CV087</v>
      </c>
      <c r="B19" s="24" t="str">
        <f>'Scored Shortlist'!C19</f>
        <v>JD3</v>
      </c>
      <c r="C19" s="24" t="str">
        <f>INDEX(Resumes!$D$2:$D$101,MATCH(A19,Resumes!$A$2:$A$101,0))</f>
        <v>MBA Finance</v>
      </c>
      <c r="D19" s="24">
        <f>INDEX(Resumes!$E$2:$E$101,MATCH(A19,Resumes!$A$2:$A$101,0))</f>
        <v>5.6</v>
      </c>
      <c r="E19" s="24" t="str">
        <f>INDEX(Resumes!$G$2:$G$101,MATCH(A19,Resumes!$A$2:$A$101,0))</f>
        <v>HR analytics, demand forecasting, user research, vendor management, UPI/payments, Power BI</v>
      </c>
      <c r="F19" s="24" t="str">
        <f>INDEX(Resumes!$I$2:$I$101,MATCH(A19,Resumes!$A$2:$A$101,0))</f>
        <v>Lakshmi Gupta, MBA Finance from a tier-2 institute. 5.6 years of experience, most recently at a fintech start-up. Key skills: HR analytics, demand forecasting, user research, vendor management, UPI/payments, Power BI. Achievement: handled 120 hires in one year. Career gap: 1-year career break (family).</v>
      </c>
      <c r="G19" s="24" t="str">
        <f t="shared" si="0"/>
        <v>handled 120 hires in one year</v>
      </c>
      <c r="H19" s="24">
        <f>INDEX('Scoring Prompt'!$C$22:$C$23,MATCH(B19,'Scoring Prompt'!$A$22:$A$23,0))</f>
        <v>2</v>
      </c>
      <c r="I19" s="24">
        <f>INDEX('Scoring Prompt'!$D$22:$D$23,MATCH(B19,'Scoring Prompt'!$A$22:$A$23,0))</f>
        <v>4</v>
      </c>
      <c r="J19" s="24">
        <f>INDEX('Scoring Prompt'!$B$27:$C$34,MATCH(C19,'Scoring Prompt'!$A$27:$A$34,0),MATCH(B19,'Scoring Prompt'!$B$26:$C$26,0))</f>
        <v>25</v>
      </c>
      <c r="K19" s="24">
        <f>IF(AND(D19&gt;=H19,D19&lt;=I19),'Scoring Prompt'!$B$47,IF(D19&lt;H19,IF(H19-D19&lt;=1,'Scoring Prompt'!$B$48,IF(H19-D19&lt;=2,'Scoring Prompt'!$B$49,'Scoring Prompt'!$B$50)),IF(D19-I19&lt;=2,'Scoring Prompt'!$B$51,'Scoring Prompt'!$B$52)))</f>
        <v>20</v>
      </c>
      <c r="L19" s="24">
        <f>IF(B19="JD3",SUMPRODUCT(--ISNUMBER(SEARCH('Scoring Prompt'!$E$22:$I$22,E19))),SUMPRODUCT(--ISNUMBER(SEARCH('Scoring Prompt'!$E$23:$I$23,E19))))</f>
        <v>1</v>
      </c>
      <c r="M19" s="24">
        <f t="shared" si="1"/>
        <v>8</v>
      </c>
      <c r="N19" s="24">
        <f>INDEX('Scoring Prompt'!$B$38:$C$43,MATCH(G19,'Scoring Prompt'!$A$38:$A$43,0),MATCH(B19,'Scoring Prompt'!$B$37:$C$37,0))</f>
        <v>3</v>
      </c>
      <c r="O19" s="24">
        <f t="shared" si="2"/>
        <v>56</v>
      </c>
      <c r="P19" s="24">
        <f>'Scored Shortlist'!E19</f>
        <v>25</v>
      </c>
      <c r="Q19" s="24">
        <f>'Scored Shortlist'!F19</f>
        <v>20</v>
      </c>
      <c r="R19" s="24">
        <f>'Scored Shortlist'!G19</f>
        <v>8</v>
      </c>
      <c r="S19" s="24">
        <f>'Scored Shortlist'!H19</f>
        <v>3</v>
      </c>
      <c r="T19" s="24">
        <f>'Scored Shortlist'!I19</f>
        <v>56</v>
      </c>
      <c r="U19" s="24">
        <f>IF('Scored Shortlist'!M19="none",0,(LEN('Scored Shortlist'!M19)-LEN(SUBSTITUTE('Scored Shortlist'!M19,"&lt;-","")))/2)</f>
        <v>0</v>
      </c>
      <c r="V19" s="24">
        <f t="shared" si="3"/>
        <v>1</v>
      </c>
      <c r="W19" s="24">
        <f t="shared" si="4"/>
        <v>1</v>
      </c>
      <c r="X19" s="24">
        <f t="shared" si="5"/>
        <v>1</v>
      </c>
      <c r="Y19" s="24">
        <f t="shared" si="6"/>
        <v>0</v>
      </c>
      <c r="Z19" s="24">
        <f t="shared" si="7"/>
        <v>0</v>
      </c>
      <c r="AA19" s="24">
        <f t="shared" si="8"/>
        <v>1</v>
      </c>
      <c r="AB19" s="25" t="str">
        <f t="shared" si="9"/>
        <v>OK</v>
      </c>
      <c r="AC19" s="24" t="str">
        <f t="shared" si="10"/>
        <v>Review</v>
      </c>
      <c r="AD19" s="24" t="str">
        <f>IF(ISNUMBER(SEARCH(" "&amp;LEFT('Scored Shortlist'!B19,FIND(" ",'Scored Shortlist'!B19)-1)&amp;" "," "&amp;'Scored Shortlist'!N19&amp;" ")),"YES","no")</f>
        <v>no</v>
      </c>
    </row>
    <row r="20" spans="1:30" x14ac:dyDescent="0.25">
      <c r="A20" s="24" t="str">
        <f>'Scored Shortlist'!A20</f>
        <v>CV016</v>
      </c>
      <c r="B20" s="24" t="str">
        <f>'Scored Shortlist'!C20</f>
        <v>JD3</v>
      </c>
      <c r="C20" s="24" t="str">
        <f>INDEX(Resumes!$D$2:$D$101,MATCH(A20,Resumes!$A$2:$A$101,0))</f>
        <v>CA</v>
      </c>
      <c r="D20" s="24">
        <f>INDEX(Resumes!$E$2:$E$101,MATCH(A20,Resumes!$A$2:$A$101,0))</f>
        <v>6.8</v>
      </c>
      <c r="E20" s="24" t="str">
        <f>INDEX(Resumes!$G$2:$G$101,MATCH(A20,Resumes!$A$2:$A$101,0))</f>
        <v>SEO, Excel, inventory planning, employee relations</v>
      </c>
      <c r="F20" s="24" t="str">
        <f>INDEX(Resumes!$I$2:$I$101,MATCH(A20,Resumes!$A$2:$A$101,0))</f>
        <v>Vikram Jadhav, CA from a tier-2 institute. 6.8 years of experience, most recently at a consulting firm. Key skills: SEO, Excel, inventory planning, employee relations. Achievement: cut reporting time by 40% by automating Excel reports. Career gap: None.</v>
      </c>
      <c r="G20" s="24" t="str">
        <f t="shared" si="0"/>
        <v>cut reporting time by 40% by automating Excel reports</v>
      </c>
      <c r="H20" s="24">
        <f>INDEX('Scoring Prompt'!$C$22:$C$23,MATCH(B20,'Scoring Prompt'!$A$22:$A$23,0))</f>
        <v>2</v>
      </c>
      <c r="I20" s="24">
        <f>INDEX('Scoring Prompt'!$D$22:$D$23,MATCH(B20,'Scoring Prompt'!$A$22:$A$23,0))</f>
        <v>4</v>
      </c>
      <c r="J20" s="24">
        <f>INDEX('Scoring Prompt'!$B$27:$C$34,MATCH(C20,'Scoring Prompt'!$A$27:$A$34,0),MATCH(B20,'Scoring Prompt'!$B$26:$C$26,0))</f>
        <v>25</v>
      </c>
      <c r="K20" s="24">
        <f>IF(AND(D20&gt;=H20,D20&lt;=I20),'Scoring Prompt'!$B$47,IF(D20&lt;H20,IF(H20-D20&lt;=1,'Scoring Prompt'!$B$48,IF(H20-D20&lt;=2,'Scoring Prompt'!$B$49,'Scoring Prompt'!$B$50)),IF(D20-I20&lt;=2,'Scoring Prompt'!$B$51,'Scoring Prompt'!$B$52)))</f>
        <v>12</v>
      </c>
      <c r="L20" s="24">
        <f>IF(B20="JD3",SUMPRODUCT(--ISNUMBER(SEARCH('Scoring Prompt'!$E$22:$I$22,E20))),SUMPRODUCT(--ISNUMBER(SEARCH('Scoring Prompt'!$E$23:$I$23,E20))))</f>
        <v>1</v>
      </c>
      <c r="M20" s="24">
        <f t="shared" si="1"/>
        <v>8</v>
      </c>
      <c r="N20" s="24">
        <f>INDEX('Scoring Prompt'!$B$38:$C$43,MATCH(G20,'Scoring Prompt'!$A$38:$A$43,0),MATCH(B20,'Scoring Prompt'!$B$37:$C$37,0))</f>
        <v>10</v>
      </c>
      <c r="O20" s="24">
        <f t="shared" si="2"/>
        <v>55</v>
      </c>
      <c r="P20" s="24">
        <f>'Scored Shortlist'!E20</f>
        <v>25</v>
      </c>
      <c r="Q20" s="24">
        <f>'Scored Shortlist'!F20</f>
        <v>12</v>
      </c>
      <c r="R20" s="24">
        <f>'Scored Shortlist'!G20</f>
        <v>8</v>
      </c>
      <c r="S20" s="24">
        <f>'Scored Shortlist'!H20</f>
        <v>10</v>
      </c>
      <c r="T20" s="24">
        <f>'Scored Shortlist'!I20</f>
        <v>55</v>
      </c>
      <c r="U20" s="24">
        <f>IF('Scored Shortlist'!M20="none",0,(LEN('Scored Shortlist'!M20)-LEN(SUBSTITUTE('Scored Shortlist'!M20,"&lt;-","")))/2)</f>
        <v>0</v>
      </c>
      <c r="V20" s="24">
        <f t="shared" si="3"/>
        <v>1</v>
      </c>
      <c r="W20" s="24">
        <f t="shared" si="4"/>
        <v>1</v>
      </c>
      <c r="X20" s="24">
        <f t="shared" si="5"/>
        <v>1</v>
      </c>
      <c r="Y20" s="24">
        <f t="shared" si="6"/>
        <v>0</v>
      </c>
      <c r="Z20" s="24">
        <f t="shared" si="7"/>
        <v>0</v>
      </c>
      <c r="AA20" s="24">
        <f t="shared" si="8"/>
        <v>1</v>
      </c>
      <c r="AB20" s="25" t="str">
        <f t="shared" si="9"/>
        <v>OK</v>
      </c>
      <c r="AC20" s="24" t="str">
        <f t="shared" si="10"/>
        <v>Review</v>
      </c>
      <c r="AD20" s="24" t="str">
        <f>IF(ISNUMBER(SEARCH(" "&amp;LEFT('Scored Shortlist'!B20,FIND(" ",'Scored Shortlist'!B20)-1)&amp;" "," "&amp;'Scored Shortlist'!N20&amp;" ")),"YES","no")</f>
        <v>no</v>
      </c>
    </row>
    <row r="21" spans="1:30" x14ac:dyDescent="0.25">
      <c r="A21" s="24" t="str">
        <f>'Scored Shortlist'!A21</f>
        <v>CV032</v>
      </c>
      <c r="B21" s="24" t="str">
        <f>'Scored Shortlist'!C21</f>
        <v>JD3</v>
      </c>
      <c r="C21" s="24" t="str">
        <f>INDEX(Resumes!$D$2:$D$101,MATCH(A21,Resumes!$A$2:$A$101,0))</f>
        <v>MBA HR</v>
      </c>
      <c r="D21" s="24">
        <f>INDEX(Resumes!$E$2:$E$101,MATCH(A21,Resumes!$A$2:$A$101,0))</f>
        <v>2.2999999999999998</v>
      </c>
      <c r="E21" s="24" t="str">
        <f>INDEX(Resumes!$G$2:$G$101,MATCH(A21,Resumes!$A$2:$A$101,0))</f>
        <v>employee relations, agile, vendor management, SAP MM, Tableau</v>
      </c>
      <c r="F21" s="24" t="str">
        <f>INDEX(Resumes!$I$2:$I$101,MATCH(A21,Resumes!$A$2:$A$101,0))</f>
        <v>Isha Pillai, MBA HR from a tier-1 institute. 2.3 years of experience, most recently at an FMCG distributor. Key skills: employee relations, agile, vendor management, SAP MM, Tableau. Achievement: cut reporting time by 40% by automating Excel reports. Career gap: None.</v>
      </c>
      <c r="G21" s="24" t="str">
        <f t="shared" si="0"/>
        <v>cut reporting time by 40% by automating Excel reports</v>
      </c>
      <c r="H21" s="24">
        <f>INDEX('Scoring Prompt'!$C$22:$C$23,MATCH(B21,'Scoring Prompt'!$A$22:$A$23,0))</f>
        <v>2</v>
      </c>
      <c r="I21" s="24">
        <f>INDEX('Scoring Prompt'!$D$22:$D$23,MATCH(B21,'Scoring Prompt'!$A$22:$A$23,0))</f>
        <v>4</v>
      </c>
      <c r="J21" s="24">
        <f>INDEX('Scoring Prompt'!$B$27:$C$34,MATCH(C21,'Scoring Prompt'!$A$27:$A$34,0),MATCH(B21,'Scoring Prompt'!$B$26:$C$26,0))</f>
        <v>12</v>
      </c>
      <c r="K21" s="24">
        <f>IF(AND(D21&gt;=H21,D21&lt;=I21),'Scoring Prompt'!$B$47,IF(D21&lt;H21,IF(H21-D21&lt;=1,'Scoring Prompt'!$B$48,IF(H21-D21&lt;=2,'Scoring Prompt'!$B$49,'Scoring Prompt'!$B$50)),IF(D21-I21&lt;=2,'Scoring Prompt'!$B$51,'Scoring Prompt'!$B$52)))</f>
        <v>25</v>
      </c>
      <c r="L21" s="24">
        <f>IF(B21="JD3",SUMPRODUCT(--ISNUMBER(SEARCH('Scoring Prompt'!$E$22:$I$22,E21))),SUMPRODUCT(--ISNUMBER(SEARCH('Scoring Prompt'!$E$23:$I$23,E21))))</f>
        <v>0</v>
      </c>
      <c r="M21" s="24">
        <f t="shared" si="1"/>
        <v>0</v>
      </c>
      <c r="N21" s="24">
        <f>INDEX('Scoring Prompt'!$B$38:$C$43,MATCH(G21,'Scoring Prompt'!$A$38:$A$43,0),MATCH(B21,'Scoring Prompt'!$B$37:$C$37,0))</f>
        <v>10</v>
      </c>
      <c r="O21" s="24">
        <f t="shared" si="2"/>
        <v>47</v>
      </c>
      <c r="P21" s="24">
        <f>'Scored Shortlist'!E21</f>
        <v>12</v>
      </c>
      <c r="Q21" s="24">
        <f>'Scored Shortlist'!F21</f>
        <v>25</v>
      </c>
      <c r="R21" s="24">
        <f>'Scored Shortlist'!G21</f>
        <v>8</v>
      </c>
      <c r="S21" s="24">
        <f>'Scored Shortlist'!H21</f>
        <v>10</v>
      </c>
      <c r="T21" s="24">
        <f>'Scored Shortlist'!I21</f>
        <v>55</v>
      </c>
      <c r="U21" s="24">
        <f>IF('Scored Shortlist'!M21="none",0,(LEN('Scored Shortlist'!M21)-LEN(SUBSTITUTE('Scored Shortlist'!M21,"&lt;-","")))/2)</f>
        <v>2</v>
      </c>
      <c r="V21" s="24">
        <f t="shared" si="3"/>
        <v>1</v>
      </c>
      <c r="W21" s="24">
        <f t="shared" si="4"/>
        <v>1</v>
      </c>
      <c r="X21" s="24">
        <f t="shared" si="5"/>
        <v>1</v>
      </c>
      <c r="Y21" s="24">
        <f t="shared" si="6"/>
        <v>8</v>
      </c>
      <c r="Z21" s="24">
        <f t="shared" si="7"/>
        <v>8</v>
      </c>
      <c r="AA21" s="24">
        <f t="shared" si="8"/>
        <v>1</v>
      </c>
      <c r="AB21" s="25" t="str">
        <f t="shared" si="9"/>
        <v>OK</v>
      </c>
      <c r="AC21" s="24" t="str">
        <f t="shared" si="10"/>
        <v>Not shortlisted</v>
      </c>
      <c r="AD21" s="24" t="str">
        <f>IF(ISNUMBER(SEARCH(" "&amp;LEFT('Scored Shortlist'!B21,FIND(" ",'Scored Shortlist'!B21)-1)&amp;" "," "&amp;'Scored Shortlist'!N21&amp;" ")),"YES","no")</f>
        <v>no</v>
      </c>
    </row>
    <row r="22" spans="1:30" x14ac:dyDescent="0.25">
      <c r="A22" s="24" t="str">
        <f>'Scored Shortlist'!A22</f>
        <v>CV043</v>
      </c>
      <c r="B22" s="24" t="str">
        <f>'Scored Shortlist'!C22</f>
        <v>JD3</v>
      </c>
      <c r="C22" s="24" t="str">
        <f>INDEX(Resumes!$D$2:$D$101,MATCH(A22,Resumes!$A$2:$A$101,0))</f>
        <v>MBA Finance</v>
      </c>
      <c r="D22" s="24">
        <f>INDEX(Resumes!$E$2:$E$101,MATCH(A22,Resumes!$A$2:$A$101,0))</f>
        <v>1.9</v>
      </c>
      <c r="E22" s="24" t="str">
        <f>INDEX(Resumes!$G$2:$G$101,MATCH(A22,Resumes!$A$2:$A$101,0))</f>
        <v>Tableau, stakeholder management, valuation, employee relations, product roadmap, A/B testing, demand forecasting</v>
      </c>
      <c r="F22" s="24" t="str">
        <f>INDEX(Resumes!$I$2:$I$101,MATCH(A22,Resumes!$A$2:$A$101,0))</f>
        <v>Isha Patil, MBA Finance from a tier-3 institute. 1.9 years of experience, most recently at a fintech start-up. Key skills: Tableau, stakeholder management, valuation, employee relations, product roadmap, A/B testing, demand forecasting. Achievement: handled 120 hires in one year. Career gap: 6-month gap (exam preparation).</v>
      </c>
      <c r="G22" s="24" t="str">
        <f t="shared" si="0"/>
        <v>handled 120 hires in one year</v>
      </c>
      <c r="H22" s="24">
        <f>INDEX('Scoring Prompt'!$C$22:$C$23,MATCH(B22,'Scoring Prompt'!$A$22:$A$23,0))</f>
        <v>2</v>
      </c>
      <c r="I22" s="24">
        <f>INDEX('Scoring Prompt'!$D$22:$D$23,MATCH(B22,'Scoring Prompt'!$A$22:$A$23,0))</f>
        <v>4</v>
      </c>
      <c r="J22" s="24">
        <f>INDEX('Scoring Prompt'!$B$27:$C$34,MATCH(C22,'Scoring Prompt'!$A$27:$A$34,0),MATCH(B22,'Scoring Prompt'!$B$26:$C$26,0))</f>
        <v>25</v>
      </c>
      <c r="K22" s="24">
        <f>IF(AND(D22&gt;=H22,D22&lt;=I22),'Scoring Prompt'!$B$47,IF(D22&lt;H22,IF(H22-D22&lt;=1,'Scoring Prompt'!$B$48,IF(H22-D22&lt;=2,'Scoring Prompt'!$B$49,'Scoring Prompt'!$B$50)),IF(D22-I22&lt;=2,'Scoring Prompt'!$B$51,'Scoring Prompt'!$B$52)))</f>
        <v>15</v>
      </c>
      <c r="L22" s="24">
        <f>IF(B22="JD3",SUMPRODUCT(--ISNUMBER(SEARCH('Scoring Prompt'!$E$22:$I$22,E22))),SUMPRODUCT(--ISNUMBER(SEARCH('Scoring Prompt'!$E$23:$I$23,E22))))</f>
        <v>1</v>
      </c>
      <c r="M22" s="24">
        <f t="shared" si="1"/>
        <v>8</v>
      </c>
      <c r="N22" s="24">
        <f>INDEX('Scoring Prompt'!$B$38:$C$43,MATCH(G22,'Scoring Prompt'!$A$38:$A$43,0),MATCH(B22,'Scoring Prompt'!$B$37:$C$37,0))</f>
        <v>3</v>
      </c>
      <c r="O22" s="24">
        <f t="shared" si="2"/>
        <v>51</v>
      </c>
      <c r="P22" s="24">
        <f>'Scored Shortlist'!E22</f>
        <v>25</v>
      </c>
      <c r="Q22" s="24">
        <f>'Scored Shortlist'!F22</f>
        <v>15</v>
      </c>
      <c r="R22" s="24">
        <f>'Scored Shortlist'!G22</f>
        <v>12</v>
      </c>
      <c r="S22" s="24">
        <f>'Scored Shortlist'!H22</f>
        <v>3</v>
      </c>
      <c r="T22" s="24">
        <f>'Scored Shortlist'!I22</f>
        <v>55</v>
      </c>
      <c r="U22" s="24">
        <f>IF('Scored Shortlist'!M22="none",0,(LEN('Scored Shortlist'!M22)-LEN(SUBSTITUTE('Scored Shortlist'!M22,"&lt;-","")))/2)</f>
        <v>1</v>
      </c>
      <c r="V22" s="24">
        <f t="shared" si="3"/>
        <v>1</v>
      </c>
      <c r="W22" s="24">
        <f t="shared" si="4"/>
        <v>1</v>
      </c>
      <c r="X22" s="24">
        <f t="shared" si="5"/>
        <v>1</v>
      </c>
      <c r="Y22" s="24">
        <f t="shared" si="6"/>
        <v>4</v>
      </c>
      <c r="Z22" s="24">
        <f t="shared" si="7"/>
        <v>4</v>
      </c>
      <c r="AA22" s="24">
        <f t="shared" si="8"/>
        <v>1</v>
      </c>
      <c r="AB22" s="25" t="str">
        <f t="shared" si="9"/>
        <v>OK</v>
      </c>
      <c r="AC22" s="24" t="str">
        <f t="shared" si="10"/>
        <v>Not shortlisted</v>
      </c>
      <c r="AD22" s="24" t="str">
        <f>IF(ISNUMBER(SEARCH(" "&amp;LEFT('Scored Shortlist'!B22,FIND(" ",'Scored Shortlist'!B22)-1)&amp;" "," "&amp;'Scored Shortlist'!N22&amp;" ")),"YES","no")</f>
        <v>no</v>
      </c>
    </row>
    <row r="23" spans="1:30" x14ac:dyDescent="0.25">
      <c r="A23" s="24" t="str">
        <f>'Scored Shortlist'!A23</f>
        <v>CV022</v>
      </c>
      <c r="B23" s="24" t="str">
        <f>'Scored Shortlist'!C23</f>
        <v>JD3</v>
      </c>
      <c r="C23" s="24" t="str">
        <f>INDEX(Resumes!$D$2:$D$101,MATCH(A23,Resumes!$A$2:$A$101,0))</f>
        <v>B.Tech + MBA</v>
      </c>
      <c r="D23" s="24">
        <f>INDEX(Resumes!$E$2:$E$101,MATCH(A23,Resumes!$A$2:$A$101,0))</f>
        <v>5.8</v>
      </c>
      <c r="E23" s="24" t="str">
        <f>INDEX(Resumes!$G$2:$G$101,MATCH(A23,Resumes!$A$2:$A$101,0))</f>
        <v>HR analytics, financial modelling, Google Analytics, Tableau, content writing, negotiation, employee relations</v>
      </c>
      <c r="F23" s="24" t="str">
        <f>INDEX(Resumes!$I$2:$I$101,MATCH(A23,Resumes!$A$2:$A$101,0))</f>
        <v>Sandeep Das, B.Tech + MBA from a tier-1 institute. 5.8 years of experience, most recently at a retail chain. Key skills: HR analytics, financial modelling, Google Analytics, Tableau, content writing, negotiation, employee relations. Achievement: built a Power BI sales dashboard used by 30 managers. Career gap: None.</v>
      </c>
      <c r="G23" s="24" t="str">
        <f t="shared" si="0"/>
        <v>built a Power BI sales dashboard used by 30 managers</v>
      </c>
      <c r="H23" s="24">
        <f>INDEX('Scoring Prompt'!$C$22:$C$23,MATCH(B23,'Scoring Prompt'!$A$22:$A$23,0))</f>
        <v>2</v>
      </c>
      <c r="I23" s="24">
        <f>INDEX('Scoring Prompt'!$D$22:$D$23,MATCH(B23,'Scoring Prompt'!$A$22:$A$23,0))</f>
        <v>4</v>
      </c>
      <c r="J23" s="24">
        <f>INDEX('Scoring Prompt'!$B$27:$C$34,MATCH(C23,'Scoring Prompt'!$A$27:$A$34,0),MATCH(B23,'Scoring Prompt'!$B$26:$C$26,0))</f>
        <v>12</v>
      </c>
      <c r="K23" s="24">
        <f>IF(AND(D23&gt;=H23,D23&lt;=I23),'Scoring Prompt'!$B$47,IF(D23&lt;H23,IF(H23-D23&lt;=1,'Scoring Prompt'!$B$48,IF(H23-D23&lt;=2,'Scoring Prompt'!$B$49,'Scoring Prompt'!$B$50)),IF(D23-I23&lt;=2,'Scoring Prompt'!$B$51,'Scoring Prompt'!$B$52)))</f>
        <v>20</v>
      </c>
      <c r="L23" s="24">
        <f>IF(B23="JD3",SUMPRODUCT(--ISNUMBER(SEARCH('Scoring Prompt'!$E$22:$I$22,E23))),SUMPRODUCT(--ISNUMBER(SEARCH('Scoring Prompt'!$E$23:$I$23,E23))))</f>
        <v>1</v>
      </c>
      <c r="M23" s="24">
        <f t="shared" si="1"/>
        <v>8</v>
      </c>
      <c r="N23" s="24">
        <f>INDEX('Scoring Prompt'!$B$38:$C$43,MATCH(G23,'Scoring Prompt'!$A$38:$A$43,0),MATCH(B23,'Scoring Prompt'!$B$37:$C$37,0))</f>
        <v>10</v>
      </c>
      <c r="O23" s="24">
        <f t="shared" si="2"/>
        <v>50</v>
      </c>
      <c r="P23" s="24">
        <f>'Scored Shortlist'!E23</f>
        <v>12</v>
      </c>
      <c r="Q23" s="24">
        <f>'Scored Shortlist'!F23</f>
        <v>20</v>
      </c>
      <c r="R23" s="24">
        <f>'Scored Shortlist'!G23</f>
        <v>12</v>
      </c>
      <c r="S23" s="24">
        <f>'Scored Shortlist'!H23</f>
        <v>10</v>
      </c>
      <c r="T23" s="24">
        <f>'Scored Shortlist'!I23</f>
        <v>54</v>
      </c>
      <c r="U23" s="24">
        <f>IF('Scored Shortlist'!M23="none",0,(LEN('Scored Shortlist'!M23)-LEN(SUBSTITUTE('Scored Shortlist'!M23,"&lt;-","")))/2)</f>
        <v>1</v>
      </c>
      <c r="V23" s="24">
        <f t="shared" si="3"/>
        <v>1</v>
      </c>
      <c r="W23" s="24">
        <f t="shared" si="4"/>
        <v>1</v>
      </c>
      <c r="X23" s="24">
        <f t="shared" si="5"/>
        <v>1</v>
      </c>
      <c r="Y23" s="24">
        <f t="shared" si="6"/>
        <v>4</v>
      </c>
      <c r="Z23" s="24">
        <f t="shared" si="7"/>
        <v>4</v>
      </c>
      <c r="AA23" s="24">
        <f t="shared" si="8"/>
        <v>1</v>
      </c>
      <c r="AB23" s="25" t="str">
        <f t="shared" si="9"/>
        <v>OK</v>
      </c>
      <c r="AC23" s="24" t="str">
        <f t="shared" si="10"/>
        <v>Not shortlisted</v>
      </c>
      <c r="AD23" s="24" t="str">
        <f>IF(ISNUMBER(SEARCH(" "&amp;LEFT('Scored Shortlist'!B23,FIND(" ",'Scored Shortlist'!B23)-1)&amp;" "," "&amp;'Scored Shortlist'!N23&amp;" ")),"YES","no")</f>
        <v>no</v>
      </c>
    </row>
    <row r="24" spans="1:30" x14ac:dyDescent="0.25">
      <c r="A24" s="24" t="str">
        <f>'Scored Shortlist'!A24</f>
        <v>CV072</v>
      </c>
      <c r="B24" s="24" t="str">
        <f>'Scored Shortlist'!C24</f>
        <v>JD3</v>
      </c>
      <c r="C24" s="24" t="str">
        <f>INDEX(Resumes!$D$2:$D$101,MATCH(A24,Resumes!$A$2:$A$101,0))</f>
        <v>MBA Operations</v>
      </c>
      <c r="D24" s="24">
        <f>INDEX(Resumes!$E$2:$E$101,MATCH(A24,Resumes!$A$2:$A$101,0))</f>
        <v>4.8</v>
      </c>
      <c r="E24" s="24" t="str">
        <f>INDEX(Resumes!$G$2:$G$101,MATCH(A24,Resumes!$A$2:$A$101,0))</f>
        <v>public speaking, campaign management, financial modelling, agile</v>
      </c>
      <c r="F24" s="24" t="str">
        <f>INDEX(Resumes!$I$2:$I$101,MATCH(A24,Resumes!$A$2:$A$101,0))</f>
        <v>Farhan Banerjee, MBA Operations from a tier-2 institute. 4.8 years of experience, most recently at an IT services firm. Key skills: public speaking, campaign management, financial modelling, agile. Achievement: built a Power BI sales dashboard used by 30 managers. Career gap: None.</v>
      </c>
      <c r="G24" s="24" t="str">
        <f t="shared" si="0"/>
        <v>built a Power BI sales dashboard used by 30 managers</v>
      </c>
      <c r="H24" s="24">
        <f>INDEX('Scoring Prompt'!$C$22:$C$23,MATCH(B24,'Scoring Prompt'!$A$22:$A$23,0))</f>
        <v>2</v>
      </c>
      <c r="I24" s="24">
        <f>INDEX('Scoring Prompt'!$D$22:$D$23,MATCH(B24,'Scoring Prompt'!$A$22:$A$23,0))</f>
        <v>4</v>
      </c>
      <c r="J24" s="24">
        <f>INDEX('Scoring Prompt'!$B$27:$C$34,MATCH(C24,'Scoring Prompt'!$A$27:$A$34,0),MATCH(B24,'Scoring Prompt'!$B$26:$C$26,0))</f>
        <v>12</v>
      </c>
      <c r="K24" s="24">
        <f>IF(AND(D24&gt;=H24,D24&lt;=I24),'Scoring Prompt'!$B$47,IF(D24&lt;H24,IF(H24-D24&lt;=1,'Scoring Prompt'!$B$48,IF(H24-D24&lt;=2,'Scoring Prompt'!$B$49,'Scoring Prompt'!$B$50)),IF(D24-I24&lt;=2,'Scoring Prompt'!$B$51,'Scoring Prompt'!$B$52)))</f>
        <v>20</v>
      </c>
      <c r="L24" s="24">
        <f>IF(B24="JD3",SUMPRODUCT(--ISNUMBER(SEARCH('Scoring Prompt'!$E$22:$I$22,E24))),SUMPRODUCT(--ISNUMBER(SEARCH('Scoring Prompt'!$E$23:$I$23,E24))))</f>
        <v>1</v>
      </c>
      <c r="M24" s="24">
        <f t="shared" si="1"/>
        <v>8</v>
      </c>
      <c r="N24" s="24">
        <f>INDEX('Scoring Prompt'!$B$38:$C$43,MATCH(G24,'Scoring Prompt'!$A$38:$A$43,0),MATCH(B24,'Scoring Prompt'!$B$37:$C$37,0))</f>
        <v>10</v>
      </c>
      <c r="O24" s="24">
        <f t="shared" si="2"/>
        <v>50</v>
      </c>
      <c r="P24" s="24">
        <f>'Scored Shortlist'!E24</f>
        <v>12</v>
      </c>
      <c r="Q24" s="24">
        <f>'Scored Shortlist'!F24</f>
        <v>20</v>
      </c>
      <c r="R24" s="24">
        <f>'Scored Shortlist'!G24</f>
        <v>12</v>
      </c>
      <c r="S24" s="24">
        <f>'Scored Shortlist'!H24</f>
        <v>10</v>
      </c>
      <c r="T24" s="24">
        <f>'Scored Shortlist'!I24</f>
        <v>54</v>
      </c>
      <c r="U24" s="24">
        <f>IF('Scored Shortlist'!M24="none",0,(LEN('Scored Shortlist'!M24)-LEN(SUBSTITUTE('Scored Shortlist'!M24,"&lt;-","")))/2)</f>
        <v>1</v>
      </c>
      <c r="V24" s="24">
        <f t="shared" si="3"/>
        <v>1</v>
      </c>
      <c r="W24" s="24">
        <f t="shared" si="4"/>
        <v>1</v>
      </c>
      <c r="X24" s="24">
        <f t="shared" si="5"/>
        <v>1</v>
      </c>
      <c r="Y24" s="24">
        <f t="shared" si="6"/>
        <v>4</v>
      </c>
      <c r="Z24" s="24">
        <f t="shared" si="7"/>
        <v>4</v>
      </c>
      <c r="AA24" s="24">
        <f t="shared" si="8"/>
        <v>1</v>
      </c>
      <c r="AB24" s="25" t="str">
        <f t="shared" si="9"/>
        <v>OK</v>
      </c>
      <c r="AC24" s="24" t="str">
        <f t="shared" si="10"/>
        <v>Not shortlisted</v>
      </c>
      <c r="AD24" s="24" t="str">
        <f>IF(ISNUMBER(SEARCH(" "&amp;LEFT('Scored Shortlist'!B24,FIND(" ",'Scored Shortlist'!B24)-1)&amp;" "," "&amp;'Scored Shortlist'!N24&amp;" ")),"YES","no")</f>
        <v>no</v>
      </c>
    </row>
    <row r="25" spans="1:30" x14ac:dyDescent="0.25">
      <c r="A25" s="24" t="str">
        <f>'Scored Shortlist'!A25</f>
        <v>CV015</v>
      </c>
      <c r="B25" s="24" t="str">
        <f>'Scored Shortlist'!C25</f>
        <v>JD3</v>
      </c>
      <c r="C25" s="24" t="str">
        <f>INDEX(Resumes!$D$2:$D$101,MATCH(A25,Resumes!$A$2:$A$101,0))</f>
        <v>MBA Finance</v>
      </c>
      <c r="D25" s="24">
        <f>INDEX(Resumes!$E$2:$E$101,MATCH(A25,Resumes!$A$2:$A$101,0))</f>
        <v>6.9</v>
      </c>
      <c r="E25" s="24" t="str">
        <f>INDEX(Resumes!$G$2:$G$101,MATCH(A25,Resumes!$A$2:$A$101,0))</f>
        <v>labour law, valuation, stakeholder management, Python, Excel, A/B testing, product roadmap, Google Analytics</v>
      </c>
      <c r="F25" s="24" t="str">
        <f>INDEX(Resumes!$I$2:$I$101,MATCH(A25,Resumes!$A$2:$A$101,0))</f>
        <v>Aarav Das, MBA Finance from a tier-1 institute. 6.9 years of experience, most recently at an FMCG distributor. Key skills: labour law, valuation, stakeholder management, Python, Excel, A/B testing, product roadmap, Google Analytics. Achievement: no major achievement listed. Career gap: None.</v>
      </c>
      <c r="G25" s="24" t="str">
        <f t="shared" si="0"/>
        <v>no major achievement listed</v>
      </c>
      <c r="H25" s="24">
        <f>INDEX('Scoring Prompt'!$C$22:$C$23,MATCH(B25,'Scoring Prompt'!$A$22:$A$23,0))</f>
        <v>2</v>
      </c>
      <c r="I25" s="24">
        <f>INDEX('Scoring Prompt'!$D$22:$D$23,MATCH(B25,'Scoring Prompt'!$A$22:$A$23,0))</f>
        <v>4</v>
      </c>
      <c r="J25" s="24">
        <f>INDEX('Scoring Prompt'!$B$27:$C$34,MATCH(C25,'Scoring Prompt'!$A$27:$A$34,0),MATCH(B25,'Scoring Prompt'!$B$26:$C$26,0))</f>
        <v>25</v>
      </c>
      <c r="K25" s="24">
        <f>IF(AND(D25&gt;=H25,D25&lt;=I25),'Scoring Prompt'!$B$47,IF(D25&lt;H25,IF(H25-D25&lt;=1,'Scoring Prompt'!$B$48,IF(H25-D25&lt;=2,'Scoring Prompt'!$B$49,'Scoring Prompt'!$B$50)),IF(D25-I25&lt;=2,'Scoring Prompt'!$B$51,'Scoring Prompt'!$B$52)))</f>
        <v>12</v>
      </c>
      <c r="L25" s="24">
        <f>IF(B25="JD3",SUMPRODUCT(--ISNUMBER(SEARCH('Scoring Prompt'!$E$22:$I$22,E25))),SUMPRODUCT(--ISNUMBER(SEARCH('Scoring Prompt'!$E$23:$I$23,E25))))</f>
        <v>2</v>
      </c>
      <c r="M25" s="24">
        <f t="shared" si="1"/>
        <v>16</v>
      </c>
      <c r="N25" s="24">
        <f>INDEX('Scoring Prompt'!$B$38:$C$43,MATCH(G25,'Scoring Prompt'!$A$38:$A$43,0),MATCH(B25,'Scoring Prompt'!$B$37:$C$37,0))</f>
        <v>0</v>
      </c>
      <c r="O25" s="24">
        <f t="shared" si="2"/>
        <v>53</v>
      </c>
      <c r="P25" s="24">
        <f>'Scored Shortlist'!E25</f>
        <v>25</v>
      </c>
      <c r="Q25" s="24">
        <f>'Scored Shortlist'!F25</f>
        <v>12</v>
      </c>
      <c r="R25" s="24">
        <f>'Scored Shortlist'!G25</f>
        <v>16</v>
      </c>
      <c r="S25" s="24">
        <f>'Scored Shortlist'!H25</f>
        <v>0</v>
      </c>
      <c r="T25" s="24">
        <f>'Scored Shortlist'!I25</f>
        <v>53</v>
      </c>
      <c r="U25" s="24">
        <f>IF('Scored Shortlist'!M25="none",0,(LEN('Scored Shortlist'!M25)-LEN(SUBSTITUTE('Scored Shortlist'!M25,"&lt;-","")))/2)</f>
        <v>0</v>
      </c>
      <c r="V25" s="24">
        <f t="shared" si="3"/>
        <v>1</v>
      </c>
      <c r="W25" s="24">
        <f t="shared" si="4"/>
        <v>1</v>
      </c>
      <c r="X25" s="24">
        <f t="shared" si="5"/>
        <v>1</v>
      </c>
      <c r="Y25" s="24">
        <f t="shared" si="6"/>
        <v>0</v>
      </c>
      <c r="Z25" s="24">
        <f t="shared" si="7"/>
        <v>0</v>
      </c>
      <c r="AA25" s="24">
        <f t="shared" si="8"/>
        <v>1</v>
      </c>
      <c r="AB25" s="25" t="str">
        <f t="shared" si="9"/>
        <v>OK</v>
      </c>
      <c r="AC25" s="24" t="str">
        <f t="shared" si="10"/>
        <v>Not shortlisted</v>
      </c>
      <c r="AD25" s="24" t="str">
        <f>IF(ISNUMBER(SEARCH(" "&amp;LEFT('Scored Shortlist'!B25,FIND(" ",'Scored Shortlist'!B25)-1)&amp;" "," "&amp;'Scored Shortlist'!N25&amp;" ")),"YES","no")</f>
        <v>no</v>
      </c>
    </row>
    <row r="26" spans="1:30" x14ac:dyDescent="0.25">
      <c r="A26" s="24" t="str">
        <f>'Scored Shortlist'!A26</f>
        <v>CV039</v>
      </c>
      <c r="B26" s="24" t="str">
        <f>'Scored Shortlist'!C26</f>
        <v>JD3</v>
      </c>
      <c r="C26" s="24" t="str">
        <f>INDEX(Resumes!$D$2:$D$101,MATCH(A26,Resumes!$A$2:$A$101,0))</f>
        <v>MBA Finance</v>
      </c>
      <c r="D26" s="24">
        <f>INDEX(Resumes!$E$2:$E$101,MATCH(A26,Resumes!$A$2:$A$101,0))</f>
        <v>3.5</v>
      </c>
      <c r="E26" s="24" t="str">
        <f>INDEX(Resumes!$G$2:$G$101,MATCH(A26,Resumes!$A$2:$A$101,0))</f>
        <v>employee relations, SEO, A/B testing, SQL, labour law</v>
      </c>
      <c r="F26" s="24" t="str">
        <f>INDEX(Resumes!$I$2:$I$101,MATCH(A26,Resumes!$A$2:$A$101,0))</f>
        <v>Gurpreet Chatterjee, MBA Finance from a tier-2 institute. 3.5 years of experience, most recently at an FMCG distributor. Key skills: employee relations, SEO, A/B testing, SQL, labour law. Achievement: handled 120 hires in one year. Career gap: 1-year career break (family).</v>
      </c>
      <c r="G26" s="24" t="str">
        <f t="shared" si="0"/>
        <v>handled 120 hires in one year</v>
      </c>
      <c r="H26" s="24">
        <f>INDEX('Scoring Prompt'!$C$22:$C$23,MATCH(B26,'Scoring Prompt'!$A$22:$A$23,0))</f>
        <v>2</v>
      </c>
      <c r="I26" s="24">
        <f>INDEX('Scoring Prompt'!$D$22:$D$23,MATCH(B26,'Scoring Prompt'!$A$22:$A$23,0))</f>
        <v>4</v>
      </c>
      <c r="J26" s="24">
        <f>INDEX('Scoring Prompt'!$B$27:$C$34,MATCH(C26,'Scoring Prompt'!$A$27:$A$34,0),MATCH(B26,'Scoring Prompt'!$B$26:$C$26,0))</f>
        <v>25</v>
      </c>
      <c r="K26" s="24">
        <f>IF(AND(D26&gt;=H26,D26&lt;=I26),'Scoring Prompt'!$B$47,IF(D26&lt;H26,IF(H26-D26&lt;=1,'Scoring Prompt'!$B$48,IF(H26-D26&lt;=2,'Scoring Prompt'!$B$49,'Scoring Prompt'!$B$50)),IF(D26-I26&lt;=2,'Scoring Prompt'!$B$51,'Scoring Prompt'!$B$52)))</f>
        <v>25</v>
      </c>
      <c r="L26" s="24">
        <f>IF(B26="JD3",SUMPRODUCT(--ISNUMBER(SEARCH('Scoring Prompt'!$E$22:$I$22,E26))),SUMPRODUCT(--ISNUMBER(SEARCH('Scoring Prompt'!$E$23:$I$23,E26))))</f>
        <v>0</v>
      </c>
      <c r="M26" s="24">
        <f t="shared" si="1"/>
        <v>0</v>
      </c>
      <c r="N26" s="24">
        <f>INDEX('Scoring Prompt'!$B$38:$C$43,MATCH(G26,'Scoring Prompt'!$A$38:$A$43,0),MATCH(B26,'Scoring Prompt'!$B$37:$C$37,0))</f>
        <v>3</v>
      </c>
      <c r="O26" s="24">
        <f t="shared" si="2"/>
        <v>53</v>
      </c>
      <c r="P26" s="24">
        <f>'Scored Shortlist'!E26</f>
        <v>25</v>
      </c>
      <c r="Q26" s="24">
        <f>'Scored Shortlist'!F26</f>
        <v>25</v>
      </c>
      <c r="R26" s="24">
        <f>'Scored Shortlist'!G26</f>
        <v>0</v>
      </c>
      <c r="S26" s="24">
        <f>'Scored Shortlist'!H26</f>
        <v>3</v>
      </c>
      <c r="T26" s="24">
        <f>'Scored Shortlist'!I26</f>
        <v>53</v>
      </c>
      <c r="U26" s="24">
        <f>IF('Scored Shortlist'!M26="none",0,(LEN('Scored Shortlist'!M26)-LEN(SUBSTITUTE('Scored Shortlist'!M26,"&lt;-","")))/2)</f>
        <v>0</v>
      </c>
      <c r="V26" s="24">
        <f t="shared" si="3"/>
        <v>1</v>
      </c>
      <c r="W26" s="24">
        <f t="shared" si="4"/>
        <v>1</v>
      </c>
      <c r="X26" s="24">
        <f t="shared" si="5"/>
        <v>1</v>
      </c>
      <c r="Y26" s="24">
        <f t="shared" si="6"/>
        <v>0</v>
      </c>
      <c r="Z26" s="24">
        <f t="shared" si="7"/>
        <v>0</v>
      </c>
      <c r="AA26" s="24">
        <f t="shared" si="8"/>
        <v>1</v>
      </c>
      <c r="AB26" s="25" t="str">
        <f t="shared" si="9"/>
        <v>OK</v>
      </c>
      <c r="AC26" s="24" t="str">
        <f t="shared" si="10"/>
        <v>Not shortlisted</v>
      </c>
      <c r="AD26" s="24" t="str">
        <f>IF(ISNUMBER(SEARCH(" "&amp;LEFT('Scored Shortlist'!B26,FIND(" ",'Scored Shortlist'!B26)-1)&amp;" "," "&amp;'Scored Shortlist'!N26&amp;" ")),"YES","no")</f>
        <v>no</v>
      </c>
    </row>
    <row r="27" spans="1:30" x14ac:dyDescent="0.25">
      <c r="A27" s="24" t="str">
        <f>'Scored Shortlist'!A27</f>
        <v>CV003</v>
      </c>
      <c r="B27" s="24" t="str">
        <f>'Scored Shortlist'!C27</f>
        <v>JD3</v>
      </c>
      <c r="C27" s="24" t="str">
        <f>INDEX(Resumes!$D$2:$D$101,MATCH(A27,Resumes!$A$2:$A$101,0))</f>
        <v>B.Com</v>
      </c>
      <c r="D27" s="24">
        <f>INDEX(Resumes!$E$2:$E$101,MATCH(A27,Resumes!$A$2:$A$101,0))</f>
        <v>2.5</v>
      </c>
      <c r="E27" s="24" t="str">
        <f>INDEX(Resumes!$G$2:$G$101,MATCH(A27,Resumes!$A$2:$A$101,0))</f>
        <v>financial modelling, product roadmap, Power BI, recruitment, SEO, content writing, demand forecasting, public speaking</v>
      </c>
      <c r="F27" s="24" t="str">
        <f>INDEX(Resumes!$I$2:$I$101,MATCH(A27,Resumes!$A$2:$A$101,0))</f>
        <v>Mary Mukherjee, B.Com from a tier-3 institute. 2.5 years of experience, most recently at an IT services firm. Key skills: financial modelling, product roadmap, Power BI, recruitment, SEO, content writing, demand forecasting, public speaking. Achievement: handled 120 hires in one year. Career gap: 6-month gap (exam preparation).</v>
      </c>
      <c r="G27" s="24" t="str">
        <f t="shared" si="0"/>
        <v>handled 120 hires in one year</v>
      </c>
      <c r="H27" s="24">
        <f>INDEX('Scoring Prompt'!$C$22:$C$23,MATCH(B27,'Scoring Prompt'!$A$22:$A$23,0))</f>
        <v>2</v>
      </c>
      <c r="I27" s="24">
        <f>INDEX('Scoring Prompt'!$D$22:$D$23,MATCH(B27,'Scoring Prompt'!$A$22:$A$23,0))</f>
        <v>4</v>
      </c>
      <c r="J27" s="24">
        <f>INDEX('Scoring Prompt'!$B$27:$C$34,MATCH(C27,'Scoring Prompt'!$A$27:$A$34,0),MATCH(B27,'Scoring Prompt'!$B$26:$C$26,0))</f>
        <v>8</v>
      </c>
      <c r="K27" s="24">
        <f>IF(AND(D27&gt;=H27,D27&lt;=I27),'Scoring Prompt'!$B$47,IF(D27&lt;H27,IF(H27-D27&lt;=1,'Scoring Prompt'!$B$48,IF(H27-D27&lt;=2,'Scoring Prompt'!$B$49,'Scoring Prompt'!$B$50)),IF(D27-I27&lt;=2,'Scoring Prompt'!$B$51,'Scoring Prompt'!$B$52)))</f>
        <v>25</v>
      </c>
      <c r="L27" s="24">
        <f>IF(B27="JD3",SUMPRODUCT(--ISNUMBER(SEARCH('Scoring Prompt'!$E$22:$I$22,E27))),SUMPRODUCT(--ISNUMBER(SEARCH('Scoring Prompt'!$E$23:$I$23,E27))))</f>
        <v>2</v>
      </c>
      <c r="M27" s="24">
        <f t="shared" si="1"/>
        <v>16</v>
      </c>
      <c r="N27" s="24">
        <f>INDEX('Scoring Prompt'!$B$38:$C$43,MATCH(G27,'Scoring Prompt'!$A$38:$A$43,0),MATCH(B27,'Scoring Prompt'!$B$37:$C$37,0))</f>
        <v>3</v>
      </c>
      <c r="O27" s="24">
        <f t="shared" si="2"/>
        <v>52</v>
      </c>
      <c r="P27" s="24">
        <f>'Scored Shortlist'!E27</f>
        <v>8</v>
      </c>
      <c r="Q27" s="24">
        <f>'Scored Shortlist'!F27</f>
        <v>25</v>
      </c>
      <c r="R27" s="24">
        <f>'Scored Shortlist'!G27</f>
        <v>16</v>
      </c>
      <c r="S27" s="24">
        <f>'Scored Shortlist'!H27</f>
        <v>3</v>
      </c>
      <c r="T27" s="24">
        <f>'Scored Shortlist'!I27</f>
        <v>52</v>
      </c>
      <c r="U27" s="24">
        <f>IF('Scored Shortlist'!M27="none",0,(LEN('Scored Shortlist'!M27)-LEN(SUBSTITUTE('Scored Shortlist'!M27,"&lt;-","")))/2)</f>
        <v>0</v>
      </c>
      <c r="V27" s="24">
        <f t="shared" si="3"/>
        <v>1</v>
      </c>
      <c r="W27" s="24">
        <f t="shared" si="4"/>
        <v>1</v>
      </c>
      <c r="X27" s="24">
        <f t="shared" si="5"/>
        <v>1</v>
      </c>
      <c r="Y27" s="24">
        <f t="shared" si="6"/>
        <v>0</v>
      </c>
      <c r="Z27" s="24">
        <f t="shared" si="7"/>
        <v>0</v>
      </c>
      <c r="AA27" s="24">
        <f t="shared" si="8"/>
        <v>1</v>
      </c>
      <c r="AB27" s="25" t="str">
        <f t="shared" si="9"/>
        <v>OK</v>
      </c>
      <c r="AC27" s="24" t="str">
        <f t="shared" si="10"/>
        <v>Not shortlisted</v>
      </c>
      <c r="AD27" s="24" t="str">
        <f>IF(ISNUMBER(SEARCH(" "&amp;LEFT('Scored Shortlist'!B27,FIND(" ",'Scored Shortlist'!B27)-1)&amp;" "," "&amp;'Scored Shortlist'!N27&amp;" ")),"YES","no")</f>
        <v>no</v>
      </c>
    </row>
    <row r="28" spans="1:30" x14ac:dyDescent="0.25">
      <c r="A28" s="24" t="str">
        <f>'Scored Shortlist'!A28</f>
        <v>CV062</v>
      </c>
      <c r="B28" s="24" t="str">
        <f>'Scored Shortlist'!C28</f>
        <v>JD3</v>
      </c>
      <c r="C28" s="24" t="str">
        <f>INDEX(Resumes!$D$2:$D$101,MATCH(A28,Resumes!$A$2:$A$101,0))</f>
        <v>MBA Operations</v>
      </c>
      <c r="D28" s="24">
        <f>INDEX(Resumes!$E$2:$E$101,MATCH(A28,Resumes!$A$2:$A$101,0))</f>
        <v>2.6</v>
      </c>
      <c r="E28" s="24" t="str">
        <f>INDEX(Resumes!$G$2:$G$101,MATCH(A28,Resumes!$A$2:$A$101,0))</f>
        <v>inventory planning, valuation, Tableau, demand forecasting, Google Analytics, vendor management</v>
      </c>
      <c r="F28" s="24" t="str">
        <f>INDEX(Resumes!$I$2:$I$101,MATCH(A28,Resumes!$A$2:$A$101,0))</f>
        <v>Diya Khan, MBA Operations from a tier-1 institute. 2.6 years of experience, most recently at a retail chain. Key skills: inventory planning, valuation, Tableau, demand forecasting, Google Analytics, vendor management. Achievement: led a 5-member campus marketing team. Career gap: None.</v>
      </c>
      <c r="G28" s="24" t="str">
        <f t="shared" si="0"/>
        <v>led a 5-member campus marketing team</v>
      </c>
      <c r="H28" s="24">
        <f>INDEX('Scoring Prompt'!$C$22:$C$23,MATCH(B28,'Scoring Prompt'!$A$22:$A$23,0))</f>
        <v>2</v>
      </c>
      <c r="I28" s="24">
        <f>INDEX('Scoring Prompt'!$D$22:$D$23,MATCH(B28,'Scoring Prompt'!$A$22:$A$23,0))</f>
        <v>4</v>
      </c>
      <c r="J28" s="24">
        <f>INDEX('Scoring Prompt'!$B$27:$C$34,MATCH(C28,'Scoring Prompt'!$A$27:$A$34,0),MATCH(B28,'Scoring Prompt'!$B$26:$C$26,0))</f>
        <v>12</v>
      </c>
      <c r="K28" s="24">
        <f>IF(AND(D28&gt;=H28,D28&lt;=I28),'Scoring Prompt'!$B$47,IF(D28&lt;H28,IF(H28-D28&lt;=1,'Scoring Prompt'!$B$48,IF(H28-D28&lt;=2,'Scoring Prompt'!$B$49,'Scoring Prompt'!$B$50)),IF(D28-I28&lt;=2,'Scoring Prompt'!$B$51,'Scoring Prompt'!$B$52)))</f>
        <v>25</v>
      </c>
      <c r="L28" s="24">
        <f>IF(B28="JD3",SUMPRODUCT(--ISNUMBER(SEARCH('Scoring Prompt'!$E$22:$I$22,E28))),SUMPRODUCT(--ISNUMBER(SEARCH('Scoring Prompt'!$E$23:$I$23,E28))))</f>
        <v>1</v>
      </c>
      <c r="M28" s="24">
        <f t="shared" si="1"/>
        <v>8</v>
      </c>
      <c r="N28" s="24">
        <f>INDEX('Scoring Prompt'!$B$38:$C$43,MATCH(G28,'Scoring Prompt'!$A$38:$A$43,0),MATCH(B28,'Scoring Prompt'!$B$37:$C$37,0))</f>
        <v>3</v>
      </c>
      <c r="O28" s="24">
        <f t="shared" si="2"/>
        <v>48</v>
      </c>
      <c r="P28" s="24">
        <f>'Scored Shortlist'!E28</f>
        <v>12</v>
      </c>
      <c r="Q28" s="24">
        <f>'Scored Shortlist'!F28</f>
        <v>25</v>
      </c>
      <c r="R28" s="24">
        <f>'Scored Shortlist'!G28</f>
        <v>12</v>
      </c>
      <c r="S28" s="24">
        <f>'Scored Shortlist'!H28</f>
        <v>3</v>
      </c>
      <c r="T28" s="24">
        <f>'Scored Shortlist'!I28</f>
        <v>52</v>
      </c>
      <c r="U28" s="24">
        <f>IF('Scored Shortlist'!M28="none",0,(LEN('Scored Shortlist'!M28)-LEN(SUBSTITUTE('Scored Shortlist'!M28,"&lt;-","")))/2)</f>
        <v>1</v>
      </c>
      <c r="V28" s="24">
        <f t="shared" si="3"/>
        <v>1</v>
      </c>
      <c r="W28" s="24">
        <f t="shared" si="4"/>
        <v>1</v>
      </c>
      <c r="X28" s="24">
        <f t="shared" si="5"/>
        <v>1</v>
      </c>
      <c r="Y28" s="24">
        <f t="shared" si="6"/>
        <v>4</v>
      </c>
      <c r="Z28" s="24">
        <f t="shared" si="7"/>
        <v>4</v>
      </c>
      <c r="AA28" s="24">
        <f t="shared" si="8"/>
        <v>1</v>
      </c>
      <c r="AB28" s="25" t="str">
        <f t="shared" si="9"/>
        <v>OK</v>
      </c>
      <c r="AC28" s="24" t="str">
        <f t="shared" si="10"/>
        <v>Not shortlisted</v>
      </c>
      <c r="AD28" s="24" t="str">
        <f>IF(ISNUMBER(SEARCH(" "&amp;LEFT('Scored Shortlist'!B28,FIND(" ",'Scored Shortlist'!B28)-1)&amp;" "," "&amp;'Scored Shortlist'!N28&amp;" ")),"YES","no")</f>
        <v>no</v>
      </c>
    </row>
    <row r="29" spans="1:30" x14ac:dyDescent="0.25">
      <c r="A29" s="24" t="str">
        <f>'Scored Shortlist'!A29</f>
        <v>CV091</v>
      </c>
      <c r="B29" s="24" t="str">
        <f>'Scored Shortlist'!C29</f>
        <v>JD3</v>
      </c>
      <c r="C29" s="24" t="str">
        <f>INDEX(Resumes!$D$2:$D$101,MATCH(A29,Resumes!$A$2:$A$101,0))</f>
        <v>CA</v>
      </c>
      <c r="D29" s="24">
        <f>INDEX(Resumes!$E$2:$E$101,MATCH(A29,Resumes!$A$2:$A$101,0))</f>
        <v>4.5</v>
      </c>
      <c r="E29" s="24" t="str">
        <f>INDEX(Resumes!$G$2:$G$101,MATCH(A29,Resumes!$A$2:$A$101,0))</f>
        <v>stakeholder management, Tableau, SEO, Python</v>
      </c>
      <c r="F29" s="24" t="str">
        <f>INDEX(Resumes!$I$2:$I$101,MATCH(A29,Resumes!$A$2:$A$101,0))</f>
        <v>Lakshmi Mishra, CA from a tier-2 institute. 4.5 years of experience, most recently at a manufacturing company. Key skills: stakeholder management, Tableau, SEO, Python. Achievement: handled 120 hires in one year. Career gap: None.</v>
      </c>
      <c r="G29" s="24" t="str">
        <f t="shared" si="0"/>
        <v>handled 120 hires in one year</v>
      </c>
      <c r="H29" s="24">
        <f>INDEX('Scoring Prompt'!$C$22:$C$23,MATCH(B29,'Scoring Prompt'!$A$22:$A$23,0))</f>
        <v>2</v>
      </c>
      <c r="I29" s="24">
        <f>INDEX('Scoring Prompt'!$D$22:$D$23,MATCH(B29,'Scoring Prompt'!$A$22:$A$23,0))</f>
        <v>4</v>
      </c>
      <c r="J29" s="24">
        <f>INDEX('Scoring Prompt'!$B$27:$C$34,MATCH(C29,'Scoring Prompt'!$A$27:$A$34,0),MATCH(B29,'Scoring Prompt'!$B$26:$C$26,0))</f>
        <v>25</v>
      </c>
      <c r="K29" s="24">
        <f>IF(AND(D29&gt;=H29,D29&lt;=I29),'Scoring Prompt'!$B$47,IF(D29&lt;H29,IF(H29-D29&lt;=1,'Scoring Prompt'!$B$48,IF(H29-D29&lt;=2,'Scoring Prompt'!$B$49,'Scoring Prompt'!$B$50)),IF(D29-I29&lt;=2,'Scoring Prompt'!$B$51,'Scoring Prompt'!$B$52)))</f>
        <v>20</v>
      </c>
      <c r="L29" s="24">
        <f>IF(B29="JD3",SUMPRODUCT(--ISNUMBER(SEARCH('Scoring Prompt'!$E$22:$I$22,E29))),SUMPRODUCT(--ISNUMBER(SEARCH('Scoring Prompt'!$E$23:$I$23,E29))))</f>
        <v>0</v>
      </c>
      <c r="M29" s="24">
        <f t="shared" si="1"/>
        <v>0</v>
      </c>
      <c r="N29" s="24">
        <f>INDEX('Scoring Prompt'!$B$38:$C$43,MATCH(G29,'Scoring Prompt'!$A$38:$A$43,0),MATCH(B29,'Scoring Prompt'!$B$37:$C$37,0))</f>
        <v>3</v>
      </c>
      <c r="O29" s="24">
        <f t="shared" si="2"/>
        <v>48</v>
      </c>
      <c r="P29" s="24">
        <f>'Scored Shortlist'!E29</f>
        <v>25</v>
      </c>
      <c r="Q29" s="24">
        <f>'Scored Shortlist'!F29</f>
        <v>20</v>
      </c>
      <c r="R29" s="24">
        <f>'Scored Shortlist'!G29</f>
        <v>4</v>
      </c>
      <c r="S29" s="24">
        <f>'Scored Shortlist'!H29</f>
        <v>3</v>
      </c>
      <c r="T29" s="24">
        <f>'Scored Shortlist'!I29</f>
        <v>52</v>
      </c>
      <c r="U29" s="24">
        <f>IF('Scored Shortlist'!M29="none",0,(LEN('Scored Shortlist'!M29)-LEN(SUBSTITUTE('Scored Shortlist'!M29,"&lt;-","")))/2)</f>
        <v>1</v>
      </c>
      <c r="V29" s="24">
        <f t="shared" si="3"/>
        <v>1</v>
      </c>
      <c r="W29" s="24">
        <f t="shared" si="4"/>
        <v>1</v>
      </c>
      <c r="X29" s="24">
        <f t="shared" si="5"/>
        <v>1</v>
      </c>
      <c r="Y29" s="24">
        <f t="shared" si="6"/>
        <v>4</v>
      </c>
      <c r="Z29" s="24">
        <f t="shared" si="7"/>
        <v>4</v>
      </c>
      <c r="AA29" s="24">
        <f t="shared" si="8"/>
        <v>1</v>
      </c>
      <c r="AB29" s="25" t="str">
        <f t="shared" si="9"/>
        <v>OK</v>
      </c>
      <c r="AC29" s="24" t="str">
        <f t="shared" si="10"/>
        <v>Not shortlisted</v>
      </c>
      <c r="AD29" s="24" t="str">
        <f>IF(ISNUMBER(SEARCH(" "&amp;LEFT('Scored Shortlist'!B29,FIND(" ",'Scored Shortlist'!B29)-1)&amp;" "," "&amp;'Scored Shortlist'!N29&amp;" ")),"YES","no")</f>
        <v>no</v>
      </c>
    </row>
    <row r="30" spans="1:30" x14ac:dyDescent="0.25">
      <c r="A30" s="24" t="str">
        <f>'Scored Shortlist'!A30</f>
        <v>CV029</v>
      </c>
      <c r="B30" s="24" t="str">
        <f>'Scored Shortlist'!C30</f>
        <v>JD3</v>
      </c>
      <c r="C30" s="24" t="str">
        <f>INDEX(Resumes!$D$2:$D$101,MATCH(A30,Resumes!$A$2:$A$101,0))</f>
        <v>MBA Marketing</v>
      </c>
      <c r="D30" s="24">
        <f>INDEX(Resumes!$E$2:$E$101,MATCH(A30,Resumes!$A$2:$A$101,0))</f>
        <v>5.4</v>
      </c>
      <c r="E30" s="24" t="str">
        <f>INDEX(Resumes!$G$2:$G$101,MATCH(A30,Resumes!$A$2:$A$101,0))</f>
        <v>Power BI, Python, HR analytics, vendor management, valuation, public speaking</v>
      </c>
      <c r="F30" s="24" t="str">
        <f>INDEX(Resumes!$I$2:$I$101,MATCH(A30,Resumes!$A$2:$A$101,0))</f>
        <v>Gurpreet Shah, MBA Marketing from a tier-1 institute. 5.4 years of experience, most recently at a consulting firm. Key skills: Power BI, Python, HR analytics, vendor management, valuation, public speaking. Achievement: handled 120 hires in one year. Career gap: None.</v>
      </c>
      <c r="G30" s="24" t="str">
        <f t="shared" si="0"/>
        <v>handled 120 hires in one year</v>
      </c>
      <c r="H30" s="24">
        <f>INDEX('Scoring Prompt'!$C$22:$C$23,MATCH(B30,'Scoring Prompt'!$A$22:$A$23,0))</f>
        <v>2</v>
      </c>
      <c r="I30" s="24">
        <f>INDEX('Scoring Prompt'!$D$22:$D$23,MATCH(B30,'Scoring Prompt'!$A$22:$A$23,0))</f>
        <v>4</v>
      </c>
      <c r="J30" s="24">
        <f>INDEX('Scoring Prompt'!$B$27:$C$34,MATCH(C30,'Scoring Prompt'!$A$27:$A$34,0),MATCH(B30,'Scoring Prompt'!$B$26:$C$26,0))</f>
        <v>12</v>
      </c>
      <c r="K30" s="24">
        <f>IF(AND(D30&gt;=H30,D30&lt;=I30),'Scoring Prompt'!$B$47,IF(D30&lt;H30,IF(H30-D30&lt;=1,'Scoring Prompt'!$B$48,IF(H30-D30&lt;=2,'Scoring Prompt'!$B$49,'Scoring Prompt'!$B$50)),IF(D30-I30&lt;=2,'Scoring Prompt'!$B$51,'Scoring Prompt'!$B$52)))</f>
        <v>20</v>
      </c>
      <c r="L30" s="24">
        <f>IF(B30="JD3",SUMPRODUCT(--ISNUMBER(SEARCH('Scoring Prompt'!$E$22:$I$22,E30))),SUMPRODUCT(--ISNUMBER(SEARCH('Scoring Prompt'!$E$23:$I$23,E30))))</f>
        <v>2</v>
      </c>
      <c r="M30" s="24">
        <f t="shared" si="1"/>
        <v>16</v>
      </c>
      <c r="N30" s="24">
        <f>INDEX('Scoring Prompt'!$B$38:$C$43,MATCH(G30,'Scoring Prompt'!$A$38:$A$43,0),MATCH(B30,'Scoring Prompt'!$B$37:$C$37,0))</f>
        <v>3</v>
      </c>
      <c r="O30" s="24">
        <f t="shared" si="2"/>
        <v>51</v>
      </c>
      <c r="P30" s="24">
        <f>'Scored Shortlist'!E30</f>
        <v>12</v>
      </c>
      <c r="Q30" s="24">
        <f>'Scored Shortlist'!F30</f>
        <v>20</v>
      </c>
      <c r="R30" s="24">
        <f>'Scored Shortlist'!G30</f>
        <v>16</v>
      </c>
      <c r="S30" s="24">
        <f>'Scored Shortlist'!H30</f>
        <v>3</v>
      </c>
      <c r="T30" s="24">
        <f>'Scored Shortlist'!I30</f>
        <v>51</v>
      </c>
      <c r="U30" s="24">
        <f>IF('Scored Shortlist'!M30="none",0,(LEN('Scored Shortlist'!M30)-LEN(SUBSTITUTE('Scored Shortlist'!M30,"&lt;-","")))/2)</f>
        <v>0</v>
      </c>
      <c r="V30" s="24">
        <f t="shared" si="3"/>
        <v>1</v>
      </c>
      <c r="W30" s="24">
        <f t="shared" si="4"/>
        <v>1</v>
      </c>
      <c r="X30" s="24">
        <f t="shared" si="5"/>
        <v>1</v>
      </c>
      <c r="Y30" s="24">
        <f t="shared" si="6"/>
        <v>0</v>
      </c>
      <c r="Z30" s="24">
        <f t="shared" si="7"/>
        <v>0</v>
      </c>
      <c r="AA30" s="24">
        <f t="shared" si="8"/>
        <v>1</v>
      </c>
      <c r="AB30" s="25" t="str">
        <f t="shared" si="9"/>
        <v>OK</v>
      </c>
      <c r="AC30" s="24" t="str">
        <f t="shared" si="10"/>
        <v>Not shortlisted</v>
      </c>
      <c r="AD30" s="24" t="str">
        <f>IF(ISNUMBER(SEARCH(" "&amp;LEFT('Scored Shortlist'!B30,FIND(" ",'Scored Shortlist'!B30)-1)&amp;" "," "&amp;'Scored Shortlist'!N30&amp;" ")),"YES","no")</f>
        <v>no</v>
      </c>
    </row>
    <row r="31" spans="1:30" x14ac:dyDescent="0.25">
      <c r="A31" s="24" t="str">
        <f>'Scored Shortlist'!A31</f>
        <v>CV084</v>
      </c>
      <c r="B31" s="24" t="str">
        <f>'Scored Shortlist'!C31</f>
        <v>JD3</v>
      </c>
      <c r="C31" s="24" t="str">
        <f>INDEX(Resumes!$D$2:$D$101,MATCH(A31,Resumes!$A$2:$A$101,0))</f>
        <v>MBA Marketing</v>
      </c>
      <c r="D31" s="24">
        <f>INDEX(Resumes!$E$2:$E$101,MATCH(A31,Resumes!$A$2:$A$101,0))</f>
        <v>2</v>
      </c>
      <c r="E31" s="24" t="str">
        <f>INDEX(Resumes!$G$2:$G$101,MATCH(A31,Resumes!$A$2:$A$101,0))</f>
        <v>A/B testing, labour law, SQL, public speaking, recruitment, HR analytics</v>
      </c>
      <c r="F31" s="24" t="str">
        <f>INDEX(Resumes!$I$2:$I$101,MATCH(A31,Resumes!$A$2:$A$101,0))</f>
        <v>Gurpreet Rao, MBA Marketing from a tier-2 institute. 2.0 years of experience, most recently at a retail chain. Key skills: A/B testing, labour law, SQL, public speaking, recruitment, HR analytics. Achievement: built a Power BI sales dashboard used by 30 managers. Career gap: None.</v>
      </c>
      <c r="G31" s="24" t="str">
        <f t="shared" si="0"/>
        <v>built a Power BI sales dashboard used by 30 managers</v>
      </c>
      <c r="H31" s="24">
        <f>INDEX('Scoring Prompt'!$C$22:$C$23,MATCH(B31,'Scoring Prompt'!$A$22:$A$23,0))</f>
        <v>2</v>
      </c>
      <c r="I31" s="24">
        <f>INDEX('Scoring Prompt'!$D$22:$D$23,MATCH(B31,'Scoring Prompt'!$A$22:$A$23,0))</f>
        <v>4</v>
      </c>
      <c r="J31" s="24">
        <f>INDEX('Scoring Prompt'!$B$27:$C$34,MATCH(C31,'Scoring Prompt'!$A$27:$A$34,0),MATCH(B31,'Scoring Prompt'!$B$26:$C$26,0))</f>
        <v>12</v>
      </c>
      <c r="K31" s="24">
        <f>IF(AND(D31&gt;=H31,D31&lt;=I31),'Scoring Prompt'!$B$47,IF(D31&lt;H31,IF(H31-D31&lt;=1,'Scoring Prompt'!$B$48,IF(H31-D31&lt;=2,'Scoring Prompt'!$B$49,'Scoring Prompt'!$B$50)),IF(D31-I31&lt;=2,'Scoring Prompt'!$B$51,'Scoring Prompt'!$B$52)))</f>
        <v>25</v>
      </c>
      <c r="L31" s="24">
        <f>IF(B31="JD3",SUMPRODUCT(--ISNUMBER(SEARCH('Scoring Prompt'!$E$22:$I$22,E31))),SUMPRODUCT(--ISNUMBER(SEARCH('Scoring Prompt'!$E$23:$I$23,E31))))</f>
        <v>0</v>
      </c>
      <c r="M31" s="24">
        <f t="shared" si="1"/>
        <v>0</v>
      </c>
      <c r="N31" s="24">
        <f>INDEX('Scoring Prompt'!$B$38:$C$43,MATCH(G31,'Scoring Prompt'!$A$38:$A$43,0),MATCH(B31,'Scoring Prompt'!$B$37:$C$37,0))</f>
        <v>10</v>
      </c>
      <c r="O31" s="24">
        <f t="shared" si="2"/>
        <v>47</v>
      </c>
      <c r="P31" s="24">
        <f>'Scored Shortlist'!E31</f>
        <v>12</v>
      </c>
      <c r="Q31" s="24">
        <f>'Scored Shortlist'!F31</f>
        <v>25</v>
      </c>
      <c r="R31" s="24">
        <f>'Scored Shortlist'!G31</f>
        <v>4</v>
      </c>
      <c r="S31" s="24">
        <f>'Scored Shortlist'!H31</f>
        <v>10</v>
      </c>
      <c r="T31" s="24">
        <f>'Scored Shortlist'!I31</f>
        <v>51</v>
      </c>
      <c r="U31" s="24">
        <f>IF('Scored Shortlist'!M31="none",0,(LEN('Scored Shortlist'!M31)-LEN(SUBSTITUTE('Scored Shortlist'!M31,"&lt;-","")))/2)</f>
        <v>1</v>
      </c>
      <c r="V31" s="24">
        <f t="shared" si="3"/>
        <v>1</v>
      </c>
      <c r="W31" s="24">
        <f t="shared" si="4"/>
        <v>1</v>
      </c>
      <c r="X31" s="24">
        <f t="shared" si="5"/>
        <v>1</v>
      </c>
      <c r="Y31" s="24">
        <f t="shared" si="6"/>
        <v>4</v>
      </c>
      <c r="Z31" s="24">
        <f t="shared" si="7"/>
        <v>4</v>
      </c>
      <c r="AA31" s="24">
        <f t="shared" si="8"/>
        <v>1</v>
      </c>
      <c r="AB31" s="25" t="str">
        <f t="shared" si="9"/>
        <v>OK</v>
      </c>
      <c r="AC31" s="24" t="str">
        <f t="shared" si="10"/>
        <v>Not shortlisted</v>
      </c>
      <c r="AD31" s="24" t="str">
        <f>IF(ISNUMBER(SEARCH(" "&amp;LEFT('Scored Shortlist'!B31,FIND(" ",'Scored Shortlist'!B31)-1)&amp;" "," "&amp;'Scored Shortlist'!N31&amp;" ")),"YES","no")</f>
        <v>no</v>
      </c>
    </row>
    <row r="32" spans="1:30" x14ac:dyDescent="0.25">
      <c r="A32" s="24" t="str">
        <f>'Scored Shortlist'!A32</f>
        <v>CV070</v>
      </c>
      <c r="B32" s="24" t="str">
        <f>'Scored Shortlist'!C32</f>
        <v>JD3</v>
      </c>
      <c r="C32" s="24" t="str">
        <f>INDEX(Resumes!$D$2:$D$101,MATCH(A32,Resumes!$A$2:$A$101,0))</f>
        <v>BBA</v>
      </c>
      <c r="D32" s="24">
        <f>INDEX(Resumes!$E$2:$E$101,MATCH(A32,Resumes!$A$2:$A$101,0))</f>
        <v>3.7</v>
      </c>
      <c r="E32" s="24" t="str">
        <f>INDEX(Resumes!$G$2:$G$101,MATCH(A32,Resumes!$A$2:$A$101,0))</f>
        <v>Power BI, campaign management, labour law, valuation, demand forecasting, SQL, Python, recruitment</v>
      </c>
      <c r="F32" s="24" t="str">
        <f>INDEX(Resumes!$I$2:$I$101,MATCH(A32,Resumes!$A$2:$A$101,0))</f>
        <v>Gauri Banerjee, BBA from a tier-3 institute. 3.7 years of experience, most recently at a consulting firm. Key skills: Power BI, campaign management, labour law, valuation, demand forecasting, SQL, Python, recruitment. Achievement: handled 120 hires in one year. Career gap: None.</v>
      </c>
      <c r="G32" s="24" t="str">
        <f t="shared" si="0"/>
        <v>handled 120 hires in one year</v>
      </c>
      <c r="H32" s="24">
        <f>INDEX('Scoring Prompt'!$C$22:$C$23,MATCH(B32,'Scoring Prompt'!$A$22:$A$23,0))</f>
        <v>2</v>
      </c>
      <c r="I32" s="24">
        <f>INDEX('Scoring Prompt'!$D$22:$D$23,MATCH(B32,'Scoring Prompt'!$A$22:$A$23,0))</f>
        <v>4</v>
      </c>
      <c r="J32" s="24">
        <f>INDEX('Scoring Prompt'!$B$27:$C$34,MATCH(C32,'Scoring Prompt'!$A$27:$A$34,0),MATCH(B32,'Scoring Prompt'!$B$26:$C$26,0))</f>
        <v>6</v>
      </c>
      <c r="K32" s="24">
        <f>IF(AND(D32&gt;=H32,D32&lt;=I32),'Scoring Prompt'!$B$47,IF(D32&lt;H32,IF(H32-D32&lt;=1,'Scoring Prompt'!$B$48,IF(H32-D32&lt;=2,'Scoring Prompt'!$B$49,'Scoring Prompt'!$B$50)),IF(D32-I32&lt;=2,'Scoring Prompt'!$B$51,'Scoring Prompt'!$B$52)))</f>
        <v>25</v>
      </c>
      <c r="L32" s="24">
        <f>IF(B32="JD3",SUMPRODUCT(--ISNUMBER(SEARCH('Scoring Prompt'!$E$22:$I$22,E32))),SUMPRODUCT(--ISNUMBER(SEARCH('Scoring Prompt'!$E$23:$I$23,E32))))</f>
        <v>2</v>
      </c>
      <c r="M32" s="24">
        <f t="shared" si="1"/>
        <v>16</v>
      </c>
      <c r="N32" s="24">
        <f>INDEX('Scoring Prompt'!$B$38:$C$43,MATCH(G32,'Scoring Prompt'!$A$38:$A$43,0),MATCH(B32,'Scoring Prompt'!$B$37:$C$37,0))</f>
        <v>3</v>
      </c>
      <c r="O32" s="24">
        <f t="shared" si="2"/>
        <v>50</v>
      </c>
      <c r="P32" s="24">
        <f>'Scored Shortlist'!E32</f>
        <v>6</v>
      </c>
      <c r="Q32" s="24">
        <f>'Scored Shortlist'!F32</f>
        <v>25</v>
      </c>
      <c r="R32" s="24">
        <f>'Scored Shortlist'!G32</f>
        <v>16</v>
      </c>
      <c r="S32" s="24">
        <f>'Scored Shortlist'!H32</f>
        <v>3</v>
      </c>
      <c r="T32" s="24">
        <f>'Scored Shortlist'!I32</f>
        <v>50</v>
      </c>
      <c r="U32" s="24">
        <f>IF('Scored Shortlist'!M32="none",0,(LEN('Scored Shortlist'!M32)-LEN(SUBSTITUTE('Scored Shortlist'!M32,"&lt;-","")))/2)</f>
        <v>0</v>
      </c>
      <c r="V32" s="24">
        <f t="shared" si="3"/>
        <v>1</v>
      </c>
      <c r="W32" s="24">
        <f t="shared" si="4"/>
        <v>1</v>
      </c>
      <c r="X32" s="24">
        <f t="shared" si="5"/>
        <v>1</v>
      </c>
      <c r="Y32" s="24">
        <f t="shared" si="6"/>
        <v>0</v>
      </c>
      <c r="Z32" s="24">
        <f t="shared" si="7"/>
        <v>0</v>
      </c>
      <c r="AA32" s="24">
        <f t="shared" si="8"/>
        <v>1</v>
      </c>
      <c r="AB32" s="25" t="str">
        <f t="shared" si="9"/>
        <v>OK</v>
      </c>
      <c r="AC32" s="24" t="str">
        <f t="shared" si="10"/>
        <v>Not shortlisted</v>
      </c>
      <c r="AD32" s="24" t="str">
        <f>IF(ISNUMBER(SEARCH(" "&amp;LEFT('Scored Shortlist'!B32,FIND(" ",'Scored Shortlist'!B32)-1)&amp;" "," "&amp;'Scored Shortlist'!N32&amp;" ")),"YES","no")</f>
        <v>no</v>
      </c>
    </row>
    <row r="33" spans="1:30" x14ac:dyDescent="0.25">
      <c r="A33" s="24" t="str">
        <f>'Scored Shortlist'!A33</f>
        <v>CV077</v>
      </c>
      <c r="B33" s="24" t="str">
        <f>'Scored Shortlist'!C33</f>
        <v>JD3</v>
      </c>
      <c r="C33" s="24" t="str">
        <f>INDEX(Resumes!$D$2:$D$101,MATCH(A33,Resumes!$A$2:$A$101,0))</f>
        <v>BBA</v>
      </c>
      <c r="D33" s="24">
        <f>INDEX(Resumes!$E$2:$E$101,MATCH(A33,Resumes!$A$2:$A$101,0))</f>
        <v>2.5</v>
      </c>
      <c r="E33" s="24" t="str">
        <f>INDEX(Resumes!$G$2:$G$101,MATCH(A33,Resumes!$A$2:$A$101,0))</f>
        <v>demand forecasting, Power BI, agile, labour law, public speaking, valuation</v>
      </c>
      <c r="F33" s="24" t="str">
        <f>INDEX(Resumes!$I$2:$I$101,MATCH(A33,Resumes!$A$2:$A$101,0))</f>
        <v>Deepika Singh, BBA from a tier-2 institute. 2.5 years of experience, most recently at a manufacturing company. Key skills: demand forecasting, Power BI, agile, labour law, public speaking, valuation. Achievement: led a 5-member campus marketing team. Career gap: None.</v>
      </c>
      <c r="G33" s="24" t="str">
        <f t="shared" si="0"/>
        <v>led a 5-member campus marketing team</v>
      </c>
      <c r="H33" s="24">
        <f>INDEX('Scoring Prompt'!$C$22:$C$23,MATCH(B33,'Scoring Prompt'!$A$22:$A$23,0))</f>
        <v>2</v>
      </c>
      <c r="I33" s="24">
        <f>INDEX('Scoring Prompt'!$D$22:$D$23,MATCH(B33,'Scoring Prompt'!$A$22:$A$23,0))</f>
        <v>4</v>
      </c>
      <c r="J33" s="24">
        <f>INDEX('Scoring Prompt'!$B$27:$C$34,MATCH(C33,'Scoring Prompt'!$A$27:$A$34,0),MATCH(B33,'Scoring Prompt'!$B$26:$C$26,0))</f>
        <v>6</v>
      </c>
      <c r="K33" s="24">
        <f>IF(AND(D33&gt;=H33,D33&lt;=I33),'Scoring Prompt'!$B$47,IF(D33&lt;H33,IF(H33-D33&lt;=1,'Scoring Prompt'!$B$48,IF(H33-D33&lt;=2,'Scoring Prompt'!$B$49,'Scoring Prompt'!$B$50)),IF(D33-I33&lt;=2,'Scoring Prompt'!$B$51,'Scoring Prompt'!$B$52)))</f>
        <v>25</v>
      </c>
      <c r="L33" s="24">
        <f>IF(B33="JD3",SUMPRODUCT(--ISNUMBER(SEARCH('Scoring Prompt'!$E$22:$I$22,E33))),SUMPRODUCT(--ISNUMBER(SEARCH('Scoring Prompt'!$E$23:$I$23,E33))))</f>
        <v>2</v>
      </c>
      <c r="M33" s="24">
        <f t="shared" si="1"/>
        <v>16</v>
      </c>
      <c r="N33" s="24">
        <f>INDEX('Scoring Prompt'!$B$38:$C$43,MATCH(G33,'Scoring Prompt'!$A$38:$A$43,0),MATCH(B33,'Scoring Prompt'!$B$37:$C$37,0))</f>
        <v>3</v>
      </c>
      <c r="O33" s="24">
        <f t="shared" si="2"/>
        <v>50</v>
      </c>
      <c r="P33" s="24">
        <f>'Scored Shortlist'!E33</f>
        <v>6</v>
      </c>
      <c r="Q33" s="24">
        <f>'Scored Shortlist'!F33</f>
        <v>25</v>
      </c>
      <c r="R33" s="24">
        <f>'Scored Shortlist'!G33</f>
        <v>16</v>
      </c>
      <c r="S33" s="24">
        <f>'Scored Shortlist'!H33</f>
        <v>3</v>
      </c>
      <c r="T33" s="24">
        <f>'Scored Shortlist'!I33</f>
        <v>50</v>
      </c>
      <c r="U33" s="24">
        <f>IF('Scored Shortlist'!M33="none",0,(LEN('Scored Shortlist'!M33)-LEN(SUBSTITUTE('Scored Shortlist'!M33,"&lt;-","")))/2)</f>
        <v>0</v>
      </c>
      <c r="V33" s="24">
        <f t="shared" si="3"/>
        <v>1</v>
      </c>
      <c r="W33" s="24">
        <f t="shared" si="4"/>
        <v>1</v>
      </c>
      <c r="X33" s="24">
        <f t="shared" si="5"/>
        <v>1</v>
      </c>
      <c r="Y33" s="24">
        <f t="shared" si="6"/>
        <v>0</v>
      </c>
      <c r="Z33" s="24">
        <f t="shared" si="7"/>
        <v>0</v>
      </c>
      <c r="AA33" s="24">
        <f t="shared" si="8"/>
        <v>1</v>
      </c>
      <c r="AB33" s="25" t="str">
        <f t="shared" si="9"/>
        <v>OK</v>
      </c>
      <c r="AC33" s="24" t="str">
        <f t="shared" si="10"/>
        <v>Not shortlisted</v>
      </c>
      <c r="AD33" s="24" t="str">
        <f>IF(ISNUMBER(SEARCH(" "&amp;LEFT('Scored Shortlist'!B33,FIND(" ",'Scored Shortlist'!B33)-1)&amp;" "," "&amp;'Scored Shortlist'!N33&amp;" ")),"YES","no")</f>
        <v>no</v>
      </c>
    </row>
    <row r="34" spans="1:30" x14ac:dyDescent="0.25">
      <c r="A34" s="24" t="str">
        <f>'Scored Shortlist'!A34</f>
        <v>CV080</v>
      </c>
      <c r="B34" s="24" t="str">
        <f>'Scored Shortlist'!C34</f>
        <v>JD3</v>
      </c>
      <c r="C34" s="24" t="str">
        <f>INDEX(Resumes!$D$2:$D$101,MATCH(A34,Resumes!$A$2:$A$101,0))</f>
        <v>B.Tech + MBA</v>
      </c>
      <c r="D34" s="24">
        <f>INDEX(Resumes!$E$2:$E$101,MATCH(A34,Resumes!$A$2:$A$101,0))</f>
        <v>6.1</v>
      </c>
      <c r="E34" s="24" t="str">
        <f>INDEX(Resumes!$G$2:$G$101,MATCH(A34,Resumes!$A$2:$A$101,0))</f>
        <v>SQL, demand forecasting, user research, Power BI, valuation, Tableau, vendor management, UPI/payments</v>
      </c>
      <c r="F34" s="24" t="str">
        <f>INDEX(Resumes!$I$2:$I$101,MATCH(A34,Resumes!$A$2:$A$101,0))</f>
        <v>Kabir Das, B.Tech + MBA from a tier-3 institute. 6.1 years of experience, most recently at an IT services firm. Key skills: SQL, demand forecasting, user research, Power BI, valuation, Tableau, vendor management, UPI/payments. Achievement: built a Power BI sales dashboard used by 30 managers. Career gap: None.</v>
      </c>
      <c r="G34" s="24" t="str">
        <f t="shared" si="0"/>
        <v>built a Power BI sales dashboard used by 30 managers</v>
      </c>
      <c r="H34" s="24">
        <f>INDEX('Scoring Prompt'!$C$22:$C$23,MATCH(B34,'Scoring Prompt'!$A$22:$A$23,0))</f>
        <v>2</v>
      </c>
      <c r="I34" s="24">
        <f>INDEX('Scoring Prompt'!$D$22:$D$23,MATCH(B34,'Scoring Prompt'!$A$22:$A$23,0))</f>
        <v>4</v>
      </c>
      <c r="J34" s="24">
        <f>INDEX('Scoring Prompt'!$B$27:$C$34,MATCH(C34,'Scoring Prompt'!$A$27:$A$34,0),MATCH(B34,'Scoring Prompt'!$B$26:$C$26,0))</f>
        <v>12</v>
      </c>
      <c r="K34" s="24">
        <f>IF(AND(D34&gt;=H34,D34&lt;=I34),'Scoring Prompt'!$B$47,IF(D34&lt;H34,IF(H34-D34&lt;=1,'Scoring Prompt'!$B$48,IF(H34-D34&lt;=2,'Scoring Prompt'!$B$49,'Scoring Prompt'!$B$50)),IF(D34-I34&lt;=2,'Scoring Prompt'!$B$51,'Scoring Prompt'!$B$52)))</f>
        <v>12</v>
      </c>
      <c r="L34" s="24">
        <f>IF(B34="JD3",SUMPRODUCT(--ISNUMBER(SEARCH('Scoring Prompt'!$E$22:$I$22,E34))),SUMPRODUCT(--ISNUMBER(SEARCH('Scoring Prompt'!$E$23:$I$23,E34))))</f>
        <v>2</v>
      </c>
      <c r="M34" s="24">
        <f t="shared" si="1"/>
        <v>16</v>
      </c>
      <c r="N34" s="24">
        <f>INDEX('Scoring Prompt'!$B$38:$C$43,MATCH(G34,'Scoring Prompt'!$A$38:$A$43,0),MATCH(B34,'Scoring Prompt'!$B$37:$C$37,0))</f>
        <v>10</v>
      </c>
      <c r="O34" s="24">
        <f t="shared" si="2"/>
        <v>50</v>
      </c>
      <c r="P34" s="24">
        <f>'Scored Shortlist'!E34</f>
        <v>12</v>
      </c>
      <c r="Q34" s="24">
        <f>'Scored Shortlist'!F34</f>
        <v>12</v>
      </c>
      <c r="R34" s="24">
        <f>'Scored Shortlist'!G34</f>
        <v>16</v>
      </c>
      <c r="S34" s="24">
        <f>'Scored Shortlist'!H34</f>
        <v>10</v>
      </c>
      <c r="T34" s="24">
        <f>'Scored Shortlist'!I34</f>
        <v>50</v>
      </c>
      <c r="U34" s="24">
        <f>IF('Scored Shortlist'!M34="none",0,(LEN('Scored Shortlist'!M34)-LEN(SUBSTITUTE('Scored Shortlist'!M34,"&lt;-","")))/2)</f>
        <v>0</v>
      </c>
      <c r="V34" s="24">
        <f t="shared" si="3"/>
        <v>1</v>
      </c>
      <c r="W34" s="24">
        <f t="shared" si="4"/>
        <v>1</v>
      </c>
      <c r="X34" s="24">
        <f t="shared" si="5"/>
        <v>1</v>
      </c>
      <c r="Y34" s="24">
        <f t="shared" si="6"/>
        <v>0</v>
      </c>
      <c r="Z34" s="24">
        <f t="shared" si="7"/>
        <v>0</v>
      </c>
      <c r="AA34" s="24">
        <f t="shared" si="8"/>
        <v>1</v>
      </c>
      <c r="AB34" s="25" t="str">
        <f t="shared" si="9"/>
        <v>OK</v>
      </c>
      <c r="AC34" s="24" t="str">
        <f t="shared" si="10"/>
        <v>Not shortlisted</v>
      </c>
      <c r="AD34" s="24" t="str">
        <f>IF(ISNUMBER(SEARCH(" "&amp;LEFT('Scored Shortlist'!B34,FIND(" ",'Scored Shortlist'!B34)-1)&amp;" "," "&amp;'Scored Shortlist'!N34&amp;" ")),"YES","no")</f>
        <v>no</v>
      </c>
    </row>
    <row r="35" spans="1:30" x14ac:dyDescent="0.25">
      <c r="A35" s="24" t="str">
        <f>'Scored Shortlist'!A35</f>
        <v>CV006</v>
      </c>
      <c r="B35" s="24" t="str">
        <f>'Scored Shortlist'!C35</f>
        <v>JD3</v>
      </c>
      <c r="C35" s="24" t="str">
        <f>INDEX(Resumes!$D$2:$D$101,MATCH(A35,Resumes!$A$2:$A$101,0))</f>
        <v>BBA</v>
      </c>
      <c r="D35" s="24">
        <f>INDEX(Resumes!$E$2:$E$101,MATCH(A35,Resumes!$A$2:$A$101,0))</f>
        <v>1.3</v>
      </c>
      <c r="E35" s="24" t="str">
        <f>INDEX(Resumes!$G$2:$G$101,MATCH(A35,Resumes!$A$2:$A$101,0))</f>
        <v>Google Analytics, inventory planning, Excel, labour law, user research, Power BI, financial modelling</v>
      </c>
      <c r="F35" s="24" t="str">
        <f>INDEX(Resumes!$I$2:$I$101,MATCH(A35,Resumes!$A$2:$A$101,0))</f>
        <v>Thomas Nair, BBA from a tier-3 institute. 1.3 years of experience, most recently at a fintech start-up. Key skills: Google Analytics, inventory planning, Excel, labour law, user research, Power BI, financial modelling. Achievement: improved vendor on-time delivery from 78% to 92%. Career gap: None.</v>
      </c>
      <c r="G35" s="24" t="str">
        <f t="shared" si="0"/>
        <v>improved vendor on-time delivery from 78% to 92%</v>
      </c>
      <c r="H35" s="24">
        <f>INDEX('Scoring Prompt'!$C$22:$C$23,MATCH(B35,'Scoring Prompt'!$A$22:$A$23,0))</f>
        <v>2</v>
      </c>
      <c r="I35" s="24">
        <f>INDEX('Scoring Prompt'!$D$22:$D$23,MATCH(B35,'Scoring Prompt'!$A$22:$A$23,0))</f>
        <v>4</v>
      </c>
      <c r="J35" s="24">
        <f>INDEX('Scoring Prompt'!$B$27:$C$34,MATCH(C35,'Scoring Prompt'!$A$27:$A$34,0),MATCH(B35,'Scoring Prompt'!$B$26:$C$26,0))</f>
        <v>6</v>
      </c>
      <c r="K35" s="24">
        <f>IF(AND(D35&gt;=H35,D35&lt;=I35),'Scoring Prompt'!$B$47,IF(D35&lt;H35,IF(H35-D35&lt;=1,'Scoring Prompt'!$B$48,IF(H35-D35&lt;=2,'Scoring Prompt'!$B$49,'Scoring Prompt'!$B$50)),IF(D35-I35&lt;=2,'Scoring Prompt'!$B$51,'Scoring Prompt'!$B$52)))</f>
        <v>15</v>
      </c>
      <c r="L35" s="24">
        <f>IF(B35="JD3",SUMPRODUCT(--ISNUMBER(SEARCH('Scoring Prompt'!$E$22:$I$22,E35))),SUMPRODUCT(--ISNUMBER(SEARCH('Scoring Prompt'!$E$23:$I$23,E35))))</f>
        <v>3</v>
      </c>
      <c r="M35" s="24">
        <f t="shared" si="1"/>
        <v>24</v>
      </c>
      <c r="N35" s="24">
        <f>INDEX('Scoring Prompt'!$B$38:$C$43,MATCH(G35,'Scoring Prompt'!$A$38:$A$43,0),MATCH(B35,'Scoring Prompt'!$B$37:$C$37,0))</f>
        <v>4</v>
      </c>
      <c r="O35" s="24">
        <f t="shared" si="2"/>
        <v>49</v>
      </c>
      <c r="P35" s="24">
        <f>'Scored Shortlist'!E35</f>
        <v>6</v>
      </c>
      <c r="Q35" s="24">
        <f>'Scored Shortlist'!F35</f>
        <v>15</v>
      </c>
      <c r="R35" s="24">
        <f>'Scored Shortlist'!G35</f>
        <v>24</v>
      </c>
      <c r="S35" s="24">
        <f>'Scored Shortlist'!H35</f>
        <v>4</v>
      </c>
      <c r="T35" s="24">
        <f>'Scored Shortlist'!I35</f>
        <v>49</v>
      </c>
      <c r="U35" s="24">
        <f>IF('Scored Shortlist'!M35="none",0,(LEN('Scored Shortlist'!M35)-LEN(SUBSTITUTE('Scored Shortlist'!M35,"&lt;-","")))/2)</f>
        <v>0</v>
      </c>
      <c r="V35" s="24">
        <f t="shared" si="3"/>
        <v>1</v>
      </c>
      <c r="W35" s="24">
        <f t="shared" si="4"/>
        <v>1</v>
      </c>
      <c r="X35" s="24">
        <f t="shared" si="5"/>
        <v>1</v>
      </c>
      <c r="Y35" s="24">
        <f t="shared" si="6"/>
        <v>0</v>
      </c>
      <c r="Z35" s="24">
        <f t="shared" si="7"/>
        <v>0</v>
      </c>
      <c r="AA35" s="24">
        <f t="shared" si="8"/>
        <v>1</v>
      </c>
      <c r="AB35" s="25" t="str">
        <f t="shared" si="9"/>
        <v>OK</v>
      </c>
      <c r="AC35" s="24" t="str">
        <f t="shared" si="10"/>
        <v>Not shortlisted</v>
      </c>
      <c r="AD35" s="24" t="str">
        <f>IF(ISNUMBER(SEARCH(" "&amp;LEFT('Scored Shortlist'!B35,FIND(" ",'Scored Shortlist'!B35)-1)&amp;" "," "&amp;'Scored Shortlist'!N35&amp;" ")),"YES","no")</f>
        <v>no</v>
      </c>
    </row>
    <row r="36" spans="1:30" x14ac:dyDescent="0.25">
      <c r="A36" s="24" t="str">
        <f>'Scored Shortlist'!A36</f>
        <v>CV034</v>
      </c>
      <c r="B36" s="24" t="str">
        <f>'Scored Shortlist'!C36</f>
        <v>JD3</v>
      </c>
      <c r="C36" s="24" t="str">
        <f>INDEX(Resumes!$D$2:$D$101,MATCH(A36,Resumes!$A$2:$A$101,0))</f>
        <v>MBA Operations</v>
      </c>
      <c r="D36" s="24">
        <f>INDEX(Resumes!$E$2:$E$101,MATCH(A36,Resumes!$A$2:$A$101,0))</f>
        <v>3.4</v>
      </c>
      <c r="E36" s="24" t="str">
        <f>INDEX(Resumes!$G$2:$G$101,MATCH(A36,Resumes!$A$2:$A$101,0))</f>
        <v>negotiation, recruitment, Excel, UPI/payments</v>
      </c>
      <c r="F36" s="24" t="str">
        <f>INDEX(Resumes!$I$2:$I$101,MATCH(A36,Resumes!$A$2:$A$101,0))</f>
        <v>Aisha Gupta, MBA Operations from a tier-3 institute. 3.4 years of experience, most recently at a fintech start-up. Key skills: negotiation, recruitment, Excel, UPI/payments. Achievement: improved vendor on-time delivery from 78% to 92%. Career gap: None.</v>
      </c>
      <c r="G36" s="24" t="str">
        <f t="shared" ref="G36:G67" si="11">MID(F36,FIND("Achievement: ",F36)+13,FIND(". Career gap",F36)-FIND("Achievement: ",F36)-13)</f>
        <v>improved vendor on-time delivery from 78% to 92%</v>
      </c>
      <c r="H36" s="24">
        <f>INDEX('Scoring Prompt'!$C$22:$C$23,MATCH(B36,'Scoring Prompt'!$A$22:$A$23,0))</f>
        <v>2</v>
      </c>
      <c r="I36" s="24">
        <f>INDEX('Scoring Prompt'!$D$22:$D$23,MATCH(B36,'Scoring Prompt'!$A$22:$A$23,0))</f>
        <v>4</v>
      </c>
      <c r="J36" s="24">
        <f>INDEX('Scoring Prompt'!$B$27:$C$34,MATCH(C36,'Scoring Prompt'!$A$27:$A$34,0),MATCH(B36,'Scoring Prompt'!$B$26:$C$26,0))</f>
        <v>12</v>
      </c>
      <c r="K36" s="24">
        <f>IF(AND(D36&gt;=H36,D36&lt;=I36),'Scoring Prompt'!$B$47,IF(D36&lt;H36,IF(H36-D36&lt;=1,'Scoring Prompt'!$B$48,IF(H36-D36&lt;=2,'Scoring Prompt'!$B$49,'Scoring Prompt'!$B$50)),IF(D36-I36&lt;=2,'Scoring Prompt'!$B$51,'Scoring Prompt'!$B$52)))</f>
        <v>25</v>
      </c>
      <c r="L36" s="24">
        <f>IF(B36="JD3",SUMPRODUCT(--ISNUMBER(SEARCH('Scoring Prompt'!$E$22:$I$22,E36))),SUMPRODUCT(--ISNUMBER(SEARCH('Scoring Prompt'!$E$23:$I$23,E36))))</f>
        <v>1</v>
      </c>
      <c r="M36" s="24">
        <f t="shared" ref="M36:M67" si="12">8*L36</f>
        <v>8</v>
      </c>
      <c r="N36" s="24">
        <f>INDEX('Scoring Prompt'!$B$38:$C$43,MATCH(G36,'Scoring Prompt'!$A$38:$A$43,0),MATCH(B36,'Scoring Prompt'!$B$37:$C$37,0))</f>
        <v>4</v>
      </c>
      <c r="O36" s="24">
        <f t="shared" ref="O36:O67" si="13">J36+K36+M36+N36</f>
        <v>49</v>
      </c>
      <c r="P36" s="24">
        <f>'Scored Shortlist'!E36</f>
        <v>12</v>
      </c>
      <c r="Q36" s="24">
        <f>'Scored Shortlist'!F36</f>
        <v>25</v>
      </c>
      <c r="R36" s="24">
        <f>'Scored Shortlist'!G36</f>
        <v>8</v>
      </c>
      <c r="S36" s="24">
        <f>'Scored Shortlist'!H36</f>
        <v>4</v>
      </c>
      <c r="T36" s="24">
        <f>'Scored Shortlist'!I36</f>
        <v>49</v>
      </c>
      <c r="U36" s="24">
        <f>IF('Scored Shortlist'!M36="none",0,(LEN('Scored Shortlist'!M36)-LEN(SUBSTITUTE('Scored Shortlist'!M36,"&lt;-","")))/2)</f>
        <v>0</v>
      </c>
      <c r="V36" s="24">
        <f t="shared" ref="V36:V67" si="14">IF(P36=J36,1,0)</f>
        <v>1</v>
      </c>
      <c r="W36" s="24">
        <f t="shared" ref="W36:W67" si="15">IF(Q36=K36,1,0)</f>
        <v>1</v>
      </c>
      <c r="X36" s="24">
        <f t="shared" ref="X36:X67" si="16">IF(S36=N36,1,0)</f>
        <v>1</v>
      </c>
      <c r="Y36" s="24">
        <f t="shared" ref="Y36:Y67" si="17">R36-M36</f>
        <v>0</v>
      </c>
      <c r="Z36" s="24">
        <f t="shared" ref="Z36:Z67" si="18">4*U36</f>
        <v>0</v>
      </c>
      <c r="AA36" s="24">
        <f t="shared" ref="AA36:AA67" si="19">IF(Y36=Z36,1,0)</f>
        <v>1</v>
      </c>
      <c r="AB36" s="25" t="str">
        <f t="shared" ref="AB36:AB67" si="20">IF(V36+W36+X36+AA36=4,"OK","CHECK")</f>
        <v>OK</v>
      </c>
      <c r="AC36" s="24" t="str">
        <f t="shared" ref="AC36:AC67" si="21">IF(AND(O36&gt;=SL_CUT,M36&gt;=SL_SKILL),"Shortlist",IF(AND(O36&gt;=RV_CUT,M36&gt;=RV_SKILL),"Review","Not shortlisted"))</f>
        <v>Not shortlisted</v>
      </c>
      <c r="AD36" s="24" t="str">
        <f>IF(ISNUMBER(SEARCH(" "&amp;LEFT('Scored Shortlist'!B36,FIND(" ",'Scored Shortlist'!B36)-1)&amp;" "," "&amp;'Scored Shortlist'!N36&amp;" ")),"YES","no")</f>
        <v>no</v>
      </c>
    </row>
    <row r="37" spans="1:30" x14ac:dyDescent="0.25">
      <c r="A37" s="24" t="str">
        <f>'Scored Shortlist'!A37</f>
        <v>CV036</v>
      </c>
      <c r="B37" s="24" t="str">
        <f>'Scored Shortlist'!C37</f>
        <v>JD3</v>
      </c>
      <c r="C37" s="24" t="str">
        <f>INDEX(Resumes!$D$2:$D$101,MATCH(A37,Resumes!$A$2:$A$101,0))</f>
        <v>BBA</v>
      </c>
      <c r="D37" s="24">
        <f>INDEX(Resumes!$E$2:$E$101,MATCH(A37,Resumes!$A$2:$A$101,0))</f>
        <v>3.7</v>
      </c>
      <c r="E37" s="24" t="str">
        <f>INDEX(Resumes!$G$2:$G$101,MATCH(A37,Resumes!$A$2:$A$101,0))</f>
        <v>stakeholder management, campaign management, SAP MM, content writing, agile, Excel, labour law</v>
      </c>
      <c r="F37" s="24" t="str">
        <f>INDEX(Resumes!$I$2:$I$101,MATCH(A37,Resumes!$A$2:$A$101,0))</f>
        <v>Riya Kaur, BBA from a tier-3 institute. 3.7 years of experience, most recently at a fintech start-up. Key skills: stakeholder management, campaign management, SAP MM, content writing, agile, Excel, labour law. Achievement: cut reporting time by 40% by automating Excel reports. Career gap: 6-month gap (exam preparation).</v>
      </c>
      <c r="G37" s="24" t="str">
        <f t="shared" si="11"/>
        <v>cut reporting time by 40% by automating Excel reports</v>
      </c>
      <c r="H37" s="24">
        <f>INDEX('Scoring Prompt'!$C$22:$C$23,MATCH(B37,'Scoring Prompt'!$A$22:$A$23,0))</f>
        <v>2</v>
      </c>
      <c r="I37" s="24">
        <f>INDEX('Scoring Prompt'!$D$22:$D$23,MATCH(B37,'Scoring Prompt'!$A$22:$A$23,0))</f>
        <v>4</v>
      </c>
      <c r="J37" s="24">
        <f>INDEX('Scoring Prompt'!$B$27:$C$34,MATCH(C37,'Scoring Prompt'!$A$27:$A$34,0),MATCH(B37,'Scoring Prompt'!$B$26:$C$26,0))</f>
        <v>6</v>
      </c>
      <c r="K37" s="24">
        <f>IF(AND(D37&gt;=H37,D37&lt;=I37),'Scoring Prompt'!$B$47,IF(D37&lt;H37,IF(H37-D37&lt;=1,'Scoring Prompt'!$B$48,IF(H37-D37&lt;=2,'Scoring Prompt'!$B$49,'Scoring Prompt'!$B$50)),IF(D37-I37&lt;=2,'Scoring Prompt'!$B$51,'Scoring Prompt'!$B$52)))</f>
        <v>25</v>
      </c>
      <c r="L37" s="24">
        <f>IF(B37="JD3",SUMPRODUCT(--ISNUMBER(SEARCH('Scoring Prompt'!$E$22:$I$22,E37))),SUMPRODUCT(--ISNUMBER(SEARCH('Scoring Prompt'!$E$23:$I$23,E37))))</f>
        <v>1</v>
      </c>
      <c r="M37" s="24">
        <f t="shared" si="12"/>
        <v>8</v>
      </c>
      <c r="N37" s="24">
        <f>INDEX('Scoring Prompt'!$B$38:$C$43,MATCH(G37,'Scoring Prompt'!$A$38:$A$43,0),MATCH(B37,'Scoring Prompt'!$B$37:$C$37,0))</f>
        <v>10</v>
      </c>
      <c r="O37" s="24">
        <f t="shared" si="13"/>
        <v>49</v>
      </c>
      <c r="P37" s="24">
        <f>'Scored Shortlist'!E37</f>
        <v>6</v>
      </c>
      <c r="Q37" s="24">
        <f>'Scored Shortlist'!F37</f>
        <v>25</v>
      </c>
      <c r="R37" s="24">
        <f>'Scored Shortlist'!G37</f>
        <v>8</v>
      </c>
      <c r="S37" s="24">
        <f>'Scored Shortlist'!H37</f>
        <v>10</v>
      </c>
      <c r="T37" s="24">
        <f>'Scored Shortlist'!I37</f>
        <v>49</v>
      </c>
      <c r="U37" s="24">
        <f>IF('Scored Shortlist'!M37="none",0,(LEN('Scored Shortlist'!M37)-LEN(SUBSTITUTE('Scored Shortlist'!M37,"&lt;-","")))/2)</f>
        <v>0</v>
      </c>
      <c r="V37" s="24">
        <f t="shared" si="14"/>
        <v>1</v>
      </c>
      <c r="W37" s="24">
        <f t="shared" si="15"/>
        <v>1</v>
      </c>
      <c r="X37" s="24">
        <f t="shared" si="16"/>
        <v>1</v>
      </c>
      <c r="Y37" s="24">
        <f t="shared" si="17"/>
        <v>0</v>
      </c>
      <c r="Z37" s="24">
        <f t="shared" si="18"/>
        <v>0</v>
      </c>
      <c r="AA37" s="24">
        <f t="shared" si="19"/>
        <v>1</v>
      </c>
      <c r="AB37" s="25" t="str">
        <f t="shared" si="20"/>
        <v>OK</v>
      </c>
      <c r="AC37" s="24" t="str">
        <f t="shared" si="21"/>
        <v>Not shortlisted</v>
      </c>
      <c r="AD37" s="24" t="str">
        <f>IF(ISNUMBER(SEARCH(" "&amp;LEFT('Scored Shortlist'!B37,FIND(" ",'Scored Shortlist'!B37)-1)&amp;" "," "&amp;'Scored Shortlist'!N37&amp;" ")),"YES","no")</f>
        <v>no</v>
      </c>
    </row>
    <row r="38" spans="1:30" x14ac:dyDescent="0.25">
      <c r="A38" s="24" t="str">
        <f>'Scored Shortlist'!A38</f>
        <v>CV028</v>
      </c>
      <c r="B38" s="24" t="str">
        <f>'Scored Shortlist'!C38</f>
        <v>JD3</v>
      </c>
      <c r="C38" s="24" t="str">
        <f>INDEX(Resumes!$D$2:$D$101,MATCH(A38,Resumes!$A$2:$A$101,0))</f>
        <v>MBA Operations</v>
      </c>
      <c r="D38" s="24">
        <f>INDEX(Resumes!$E$2:$E$101,MATCH(A38,Resumes!$A$2:$A$101,0))</f>
        <v>5.9</v>
      </c>
      <c r="E38" s="24" t="str">
        <f>INDEX(Resumes!$G$2:$G$101,MATCH(A38,Resumes!$A$2:$A$101,0))</f>
        <v>HR analytics, A/B testing, Python, Tableau, inventory planning, SQL, valuation</v>
      </c>
      <c r="F38" s="24" t="str">
        <f>INDEX(Resumes!$I$2:$I$101,MATCH(A38,Resumes!$A$2:$A$101,0))</f>
        <v>Simran Menon, MBA Operations from a tier-1 institute. 5.9 years of experience, most recently at a consulting firm. Key skills: HR analytics, A/B testing, Python, Tableau, inventory planning, SQL, valuation. Achievement: improved vendor on-time delivery from 78% to 92%. Career gap: None.</v>
      </c>
      <c r="G38" s="24" t="str">
        <f t="shared" si="11"/>
        <v>improved vendor on-time delivery from 78% to 92%</v>
      </c>
      <c r="H38" s="24">
        <f>INDEX('Scoring Prompt'!$C$22:$C$23,MATCH(B38,'Scoring Prompt'!$A$22:$A$23,0))</f>
        <v>2</v>
      </c>
      <c r="I38" s="24">
        <f>INDEX('Scoring Prompt'!$D$22:$D$23,MATCH(B38,'Scoring Prompt'!$A$22:$A$23,0))</f>
        <v>4</v>
      </c>
      <c r="J38" s="24">
        <f>INDEX('Scoring Prompt'!$B$27:$C$34,MATCH(C38,'Scoring Prompt'!$A$27:$A$34,0),MATCH(B38,'Scoring Prompt'!$B$26:$C$26,0))</f>
        <v>12</v>
      </c>
      <c r="K38" s="24">
        <f>IF(AND(D38&gt;=H38,D38&lt;=I38),'Scoring Prompt'!$B$47,IF(D38&lt;H38,IF(H38-D38&lt;=1,'Scoring Prompt'!$B$48,IF(H38-D38&lt;=2,'Scoring Prompt'!$B$49,'Scoring Prompt'!$B$50)),IF(D38-I38&lt;=2,'Scoring Prompt'!$B$51,'Scoring Prompt'!$B$52)))</f>
        <v>20</v>
      </c>
      <c r="L38" s="24">
        <f>IF(B38="JD3",SUMPRODUCT(--ISNUMBER(SEARCH('Scoring Prompt'!$E$22:$I$22,E38))),SUMPRODUCT(--ISNUMBER(SEARCH('Scoring Prompt'!$E$23:$I$23,E38))))</f>
        <v>1</v>
      </c>
      <c r="M38" s="24">
        <f t="shared" si="12"/>
        <v>8</v>
      </c>
      <c r="N38" s="24">
        <f>INDEX('Scoring Prompt'!$B$38:$C$43,MATCH(G38,'Scoring Prompt'!$A$38:$A$43,0),MATCH(B38,'Scoring Prompt'!$B$37:$C$37,0))</f>
        <v>4</v>
      </c>
      <c r="O38" s="24">
        <f t="shared" si="13"/>
        <v>44</v>
      </c>
      <c r="P38" s="24">
        <f>'Scored Shortlist'!E38</f>
        <v>12</v>
      </c>
      <c r="Q38" s="24">
        <f>'Scored Shortlist'!F38</f>
        <v>20</v>
      </c>
      <c r="R38" s="24">
        <f>'Scored Shortlist'!G38</f>
        <v>12</v>
      </c>
      <c r="S38" s="24">
        <f>'Scored Shortlist'!H38</f>
        <v>4</v>
      </c>
      <c r="T38" s="24">
        <f>'Scored Shortlist'!I38</f>
        <v>48</v>
      </c>
      <c r="U38" s="24">
        <f>IF('Scored Shortlist'!M38="none",0,(LEN('Scored Shortlist'!M38)-LEN(SUBSTITUTE('Scored Shortlist'!M38,"&lt;-","")))/2)</f>
        <v>1</v>
      </c>
      <c r="V38" s="24">
        <f t="shared" si="14"/>
        <v>1</v>
      </c>
      <c r="W38" s="24">
        <f t="shared" si="15"/>
        <v>1</v>
      </c>
      <c r="X38" s="24">
        <f t="shared" si="16"/>
        <v>1</v>
      </c>
      <c r="Y38" s="24">
        <f t="shared" si="17"/>
        <v>4</v>
      </c>
      <c r="Z38" s="24">
        <f t="shared" si="18"/>
        <v>4</v>
      </c>
      <c r="AA38" s="24">
        <f t="shared" si="19"/>
        <v>1</v>
      </c>
      <c r="AB38" s="25" t="str">
        <f t="shared" si="20"/>
        <v>OK</v>
      </c>
      <c r="AC38" s="24" t="str">
        <f t="shared" si="21"/>
        <v>Not shortlisted</v>
      </c>
      <c r="AD38" s="24" t="str">
        <f>IF(ISNUMBER(SEARCH(" "&amp;LEFT('Scored Shortlist'!B38,FIND(" ",'Scored Shortlist'!B38)-1)&amp;" "," "&amp;'Scored Shortlist'!N38&amp;" ")),"YES","no")</f>
        <v>no</v>
      </c>
    </row>
    <row r="39" spans="1:30" x14ac:dyDescent="0.25">
      <c r="A39" s="24" t="str">
        <f>'Scored Shortlist'!A39</f>
        <v>CV049</v>
      </c>
      <c r="B39" s="24" t="str">
        <f>'Scored Shortlist'!C39</f>
        <v>JD3</v>
      </c>
      <c r="C39" s="24" t="str">
        <f>INDEX(Resumes!$D$2:$D$101,MATCH(A39,Resumes!$A$2:$A$101,0))</f>
        <v>MBA Operations</v>
      </c>
      <c r="D39" s="24">
        <f>INDEX(Resumes!$E$2:$E$101,MATCH(A39,Resumes!$A$2:$A$101,0))</f>
        <v>3.7</v>
      </c>
      <c r="E39" s="24" t="str">
        <f>INDEX(Resumes!$G$2:$G$101,MATCH(A39,Resumes!$A$2:$A$101,0))</f>
        <v>SEO, recruitment, demand forecasting, Google Analytics, agile, valuation, stakeholder management</v>
      </c>
      <c r="F39" s="24" t="str">
        <f>INDEX(Resumes!$I$2:$I$101,MATCH(A39,Resumes!$A$2:$A$101,0))</f>
        <v>Vikram Sharma, MBA Operations from a tier-2 institute. 3.7 years of experience, most recently at a manufacturing company. Key skills: SEO, recruitment, demand forecasting, Google Analytics, agile, valuation, stakeholder management. Achievement: led a 5-member campus marketing team. Career gap: 1-year career break (family).</v>
      </c>
      <c r="G39" s="24" t="str">
        <f t="shared" si="11"/>
        <v>led a 5-member campus marketing team</v>
      </c>
      <c r="H39" s="24">
        <f>INDEX('Scoring Prompt'!$C$22:$C$23,MATCH(B39,'Scoring Prompt'!$A$22:$A$23,0))</f>
        <v>2</v>
      </c>
      <c r="I39" s="24">
        <f>INDEX('Scoring Prompt'!$D$22:$D$23,MATCH(B39,'Scoring Prompt'!$A$22:$A$23,0))</f>
        <v>4</v>
      </c>
      <c r="J39" s="24">
        <f>INDEX('Scoring Prompt'!$B$27:$C$34,MATCH(C39,'Scoring Prompt'!$A$27:$A$34,0),MATCH(B39,'Scoring Prompt'!$B$26:$C$26,0))</f>
        <v>12</v>
      </c>
      <c r="K39" s="24">
        <f>IF(AND(D39&gt;=H39,D39&lt;=I39),'Scoring Prompt'!$B$47,IF(D39&lt;H39,IF(H39-D39&lt;=1,'Scoring Prompt'!$B$48,IF(H39-D39&lt;=2,'Scoring Prompt'!$B$49,'Scoring Prompt'!$B$50)),IF(D39-I39&lt;=2,'Scoring Prompt'!$B$51,'Scoring Prompt'!$B$52)))</f>
        <v>25</v>
      </c>
      <c r="L39" s="24">
        <f>IF(B39="JD3",SUMPRODUCT(--ISNUMBER(SEARCH('Scoring Prompt'!$E$22:$I$22,E39))),SUMPRODUCT(--ISNUMBER(SEARCH('Scoring Prompt'!$E$23:$I$23,E39))))</f>
        <v>1</v>
      </c>
      <c r="M39" s="24">
        <f t="shared" si="12"/>
        <v>8</v>
      </c>
      <c r="N39" s="24">
        <f>INDEX('Scoring Prompt'!$B$38:$C$43,MATCH(G39,'Scoring Prompt'!$A$38:$A$43,0),MATCH(B39,'Scoring Prompt'!$B$37:$C$37,0))</f>
        <v>3</v>
      </c>
      <c r="O39" s="24">
        <f t="shared" si="13"/>
        <v>48</v>
      </c>
      <c r="P39" s="24">
        <f>'Scored Shortlist'!E39</f>
        <v>12</v>
      </c>
      <c r="Q39" s="24">
        <f>'Scored Shortlist'!F39</f>
        <v>25</v>
      </c>
      <c r="R39" s="24">
        <f>'Scored Shortlist'!G39</f>
        <v>8</v>
      </c>
      <c r="S39" s="24">
        <f>'Scored Shortlist'!H39</f>
        <v>3</v>
      </c>
      <c r="T39" s="24">
        <f>'Scored Shortlist'!I39</f>
        <v>48</v>
      </c>
      <c r="U39" s="24">
        <f>IF('Scored Shortlist'!M39="none",0,(LEN('Scored Shortlist'!M39)-LEN(SUBSTITUTE('Scored Shortlist'!M39,"&lt;-","")))/2)</f>
        <v>0</v>
      </c>
      <c r="V39" s="24">
        <f t="shared" si="14"/>
        <v>1</v>
      </c>
      <c r="W39" s="24">
        <f t="shared" si="15"/>
        <v>1</v>
      </c>
      <c r="X39" s="24">
        <f t="shared" si="16"/>
        <v>1</v>
      </c>
      <c r="Y39" s="24">
        <f t="shared" si="17"/>
        <v>0</v>
      </c>
      <c r="Z39" s="24">
        <f t="shared" si="18"/>
        <v>0</v>
      </c>
      <c r="AA39" s="24">
        <f t="shared" si="19"/>
        <v>1</v>
      </c>
      <c r="AB39" s="25" t="str">
        <f t="shared" si="20"/>
        <v>OK</v>
      </c>
      <c r="AC39" s="24" t="str">
        <f t="shared" si="21"/>
        <v>Not shortlisted</v>
      </c>
      <c r="AD39" s="24" t="str">
        <f>IF(ISNUMBER(SEARCH(" "&amp;LEFT('Scored Shortlist'!B39,FIND(" ",'Scored Shortlist'!B39)-1)&amp;" "," "&amp;'Scored Shortlist'!N39&amp;" ")),"YES","no")</f>
        <v>no</v>
      </c>
    </row>
    <row r="40" spans="1:30" x14ac:dyDescent="0.25">
      <c r="A40" s="24" t="str">
        <f>'Scored Shortlist'!A40</f>
        <v>CV065</v>
      </c>
      <c r="B40" s="24" t="str">
        <f>'Scored Shortlist'!C40</f>
        <v>JD3</v>
      </c>
      <c r="C40" s="24" t="str">
        <f>INDEX(Resumes!$D$2:$D$101,MATCH(A40,Resumes!$A$2:$A$101,0))</f>
        <v>MBA Finance</v>
      </c>
      <c r="D40" s="24">
        <f>INDEX(Resumes!$E$2:$E$101,MATCH(A40,Resumes!$A$2:$A$101,0))</f>
        <v>0.5</v>
      </c>
      <c r="E40" s="24" t="str">
        <f>INDEX(Resumes!$G$2:$G$101,MATCH(A40,Resumes!$A$2:$A$101,0))</f>
        <v>Tableau, stakeholder management, Excel, vendor management, content writing</v>
      </c>
      <c r="F40" s="24" t="str">
        <f>INDEX(Resumes!$I$2:$I$101,MATCH(A40,Resumes!$A$2:$A$101,0))</f>
        <v>Diya D'Souza, MBA Finance from a tier-2 institute. 0.5 years of experience, most recently at a bank. Key skills: Tableau, stakeholder management, Excel, vendor management, content writing. Achievement: led a 5-member campus marketing team. Career gap: None.</v>
      </c>
      <c r="G40" s="24" t="str">
        <f t="shared" si="11"/>
        <v>led a 5-member campus marketing team</v>
      </c>
      <c r="H40" s="24">
        <f>INDEX('Scoring Prompt'!$C$22:$C$23,MATCH(B40,'Scoring Prompt'!$A$22:$A$23,0))</f>
        <v>2</v>
      </c>
      <c r="I40" s="24">
        <f>INDEX('Scoring Prompt'!$D$22:$D$23,MATCH(B40,'Scoring Prompt'!$A$22:$A$23,0))</f>
        <v>4</v>
      </c>
      <c r="J40" s="24">
        <f>INDEX('Scoring Prompt'!$B$27:$C$34,MATCH(C40,'Scoring Prompt'!$A$27:$A$34,0),MATCH(B40,'Scoring Prompt'!$B$26:$C$26,0))</f>
        <v>25</v>
      </c>
      <c r="K40" s="24">
        <f>IF(AND(D40&gt;=H40,D40&lt;=I40),'Scoring Prompt'!$B$47,IF(D40&lt;H40,IF(H40-D40&lt;=1,'Scoring Prompt'!$B$48,IF(H40-D40&lt;=2,'Scoring Prompt'!$B$49,'Scoring Prompt'!$B$50)),IF(D40-I40&lt;=2,'Scoring Prompt'!$B$51,'Scoring Prompt'!$B$52)))</f>
        <v>8</v>
      </c>
      <c r="L40" s="24">
        <f>IF(B40="JD3",SUMPRODUCT(--ISNUMBER(SEARCH('Scoring Prompt'!$E$22:$I$22,E40))),SUMPRODUCT(--ISNUMBER(SEARCH('Scoring Prompt'!$E$23:$I$23,E40))))</f>
        <v>1</v>
      </c>
      <c r="M40" s="24">
        <f t="shared" si="12"/>
        <v>8</v>
      </c>
      <c r="N40" s="24">
        <f>INDEX('Scoring Prompt'!$B$38:$C$43,MATCH(G40,'Scoring Prompt'!$A$38:$A$43,0),MATCH(B40,'Scoring Prompt'!$B$37:$C$37,0))</f>
        <v>3</v>
      </c>
      <c r="O40" s="24">
        <f t="shared" si="13"/>
        <v>44</v>
      </c>
      <c r="P40" s="24">
        <f>'Scored Shortlist'!E40</f>
        <v>25</v>
      </c>
      <c r="Q40" s="24">
        <f>'Scored Shortlist'!F40</f>
        <v>8</v>
      </c>
      <c r="R40" s="24">
        <f>'Scored Shortlist'!G40</f>
        <v>12</v>
      </c>
      <c r="S40" s="24">
        <f>'Scored Shortlist'!H40</f>
        <v>3</v>
      </c>
      <c r="T40" s="24">
        <f>'Scored Shortlist'!I40</f>
        <v>48</v>
      </c>
      <c r="U40" s="24">
        <f>IF('Scored Shortlist'!M40="none",0,(LEN('Scored Shortlist'!M40)-LEN(SUBSTITUTE('Scored Shortlist'!M40,"&lt;-","")))/2)</f>
        <v>1</v>
      </c>
      <c r="V40" s="24">
        <f t="shared" si="14"/>
        <v>1</v>
      </c>
      <c r="W40" s="24">
        <f t="shared" si="15"/>
        <v>1</v>
      </c>
      <c r="X40" s="24">
        <f t="shared" si="16"/>
        <v>1</v>
      </c>
      <c r="Y40" s="24">
        <f t="shared" si="17"/>
        <v>4</v>
      </c>
      <c r="Z40" s="24">
        <f t="shared" si="18"/>
        <v>4</v>
      </c>
      <c r="AA40" s="24">
        <f t="shared" si="19"/>
        <v>1</v>
      </c>
      <c r="AB40" s="25" t="str">
        <f t="shared" si="20"/>
        <v>OK</v>
      </c>
      <c r="AC40" s="24" t="str">
        <f t="shared" si="21"/>
        <v>Not shortlisted</v>
      </c>
      <c r="AD40" s="24" t="str">
        <f>IF(ISNUMBER(SEARCH(" "&amp;LEFT('Scored Shortlist'!B40,FIND(" ",'Scored Shortlist'!B40)-1)&amp;" "," "&amp;'Scored Shortlist'!N40&amp;" ")),"YES","no")</f>
        <v>no</v>
      </c>
    </row>
    <row r="41" spans="1:30" x14ac:dyDescent="0.25">
      <c r="A41" s="24" t="str">
        <f>'Scored Shortlist'!A41</f>
        <v>CV090</v>
      </c>
      <c r="B41" s="24" t="str">
        <f>'Scored Shortlist'!C41</f>
        <v>JD3</v>
      </c>
      <c r="C41" s="24" t="str">
        <f>INDEX(Resumes!$D$2:$D$101,MATCH(A41,Resumes!$A$2:$A$101,0))</f>
        <v>MBA Marketing</v>
      </c>
      <c r="D41" s="24">
        <f>INDEX(Resumes!$E$2:$E$101,MATCH(A41,Resumes!$A$2:$A$101,0))</f>
        <v>5.9</v>
      </c>
      <c r="E41" s="24" t="str">
        <f>INDEX(Resumes!$G$2:$G$101,MATCH(A41,Resumes!$A$2:$A$101,0))</f>
        <v>Excel, Tableau, labour law, product roadmap</v>
      </c>
      <c r="F41" s="24" t="str">
        <f>INDEX(Resumes!$I$2:$I$101,MATCH(A41,Resumes!$A$2:$A$101,0))</f>
        <v>Nikhil Mehta, MBA Marketing from a tier-3 institute. 5.9 years of experience, most recently at an IT services firm. Key skills: Excel, Tableau, labour law, product roadmap. Achievement: improved vendor on-time delivery from 78% to 92%. Career gap: 6-month gap (exam preparation).</v>
      </c>
      <c r="G41" s="24" t="str">
        <f t="shared" si="11"/>
        <v>improved vendor on-time delivery from 78% to 92%</v>
      </c>
      <c r="H41" s="24">
        <f>INDEX('Scoring Prompt'!$C$22:$C$23,MATCH(B41,'Scoring Prompt'!$A$22:$A$23,0))</f>
        <v>2</v>
      </c>
      <c r="I41" s="24">
        <f>INDEX('Scoring Prompt'!$D$22:$D$23,MATCH(B41,'Scoring Prompt'!$A$22:$A$23,0))</f>
        <v>4</v>
      </c>
      <c r="J41" s="24">
        <f>INDEX('Scoring Prompt'!$B$27:$C$34,MATCH(C41,'Scoring Prompt'!$A$27:$A$34,0),MATCH(B41,'Scoring Prompt'!$B$26:$C$26,0))</f>
        <v>12</v>
      </c>
      <c r="K41" s="24">
        <f>IF(AND(D41&gt;=H41,D41&lt;=I41),'Scoring Prompt'!$B$47,IF(D41&lt;H41,IF(H41-D41&lt;=1,'Scoring Prompt'!$B$48,IF(H41-D41&lt;=2,'Scoring Prompt'!$B$49,'Scoring Prompt'!$B$50)),IF(D41-I41&lt;=2,'Scoring Prompt'!$B$51,'Scoring Prompt'!$B$52)))</f>
        <v>20</v>
      </c>
      <c r="L41" s="24">
        <f>IF(B41="JD3",SUMPRODUCT(--ISNUMBER(SEARCH('Scoring Prompt'!$E$22:$I$22,E41))),SUMPRODUCT(--ISNUMBER(SEARCH('Scoring Prompt'!$E$23:$I$23,E41))))</f>
        <v>1</v>
      </c>
      <c r="M41" s="24">
        <f t="shared" si="12"/>
        <v>8</v>
      </c>
      <c r="N41" s="24">
        <f>INDEX('Scoring Prompt'!$B$38:$C$43,MATCH(G41,'Scoring Prompt'!$A$38:$A$43,0),MATCH(B41,'Scoring Prompt'!$B$37:$C$37,0))</f>
        <v>4</v>
      </c>
      <c r="O41" s="24">
        <f t="shared" si="13"/>
        <v>44</v>
      </c>
      <c r="P41" s="24">
        <f>'Scored Shortlist'!E41</f>
        <v>12</v>
      </c>
      <c r="Q41" s="24">
        <f>'Scored Shortlist'!F41</f>
        <v>20</v>
      </c>
      <c r="R41" s="24">
        <f>'Scored Shortlist'!G41</f>
        <v>12</v>
      </c>
      <c r="S41" s="24">
        <f>'Scored Shortlist'!H41</f>
        <v>4</v>
      </c>
      <c r="T41" s="24">
        <f>'Scored Shortlist'!I41</f>
        <v>48</v>
      </c>
      <c r="U41" s="24">
        <f>IF('Scored Shortlist'!M41="none",0,(LEN('Scored Shortlist'!M41)-LEN(SUBSTITUTE('Scored Shortlist'!M41,"&lt;-","")))/2)</f>
        <v>1</v>
      </c>
      <c r="V41" s="24">
        <f t="shared" si="14"/>
        <v>1</v>
      </c>
      <c r="W41" s="24">
        <f t="shared" si="15"/>
        <v>1</v>
      </c>
      <c r="X41" s="24">
        <f t="shared" si="16"/>
        <v>1</v>
      </c>
      <c r="Y41" s="24">
        <f t="shared" si="17"/>
        <v>4</v>
      </c>
      <c r="Z41" s="24">
        <f t="shared" si="18"/>
        <v>4</v>
      </c>
      <c r="AA41" s="24">
        <f t="shared" si="19"/>
        <v>1</v>
      </c>
      <c r="AB41" s="25" t="str">
        <f t="shared" si="20"/>
        <v>OK</v>
      </c>
      <c r="AC41" s="24" t="str">
        <f t="shared" si="21"/>
        <v>Not shortlisted</v>
      </c>
      <c r="AD41" s="24" t="str">
        <f>IF(ISNUMBER(SEARCH(" "&amp;LEFT('Scored Shortlist'!B41,FIND(" ",'Scored Shortlist'!B41)-1)&amp;" "," "&amp;'Scored Shortlist'!N41&amp;" ")),"YES","no")</f>
        <v>no</v>
      </c>
    </row>
    <row r="42" spans="1:30" x14ac:dyDescent="0.25">
      <c r="A42" s="24" t="str">
        <f>'Scored Shortlist'!A42</f>
        <v>CV092</v>
      </c>
      <c r="B42" s="24" t="str">
        <f>'Scored Shortlist'!C42</f>
        <v>JD3</v>
      </c>
      <c r="C42" s="24" t="str">
        <f>INDEX(Resumes!$D$2:$D$101,MATCH(A42,Resumes!$A$2:$A$101,0))</f>
        <v>CA</v>
      </c>
      <c r="D42" s="24">
        <f>INDEX(Resumes!$E$2:$E$101,MATCH(A42,Resumes!$A$2:$A$101,0))</f>
        <v>7.5</v>
      </c>
      <c r="E42" s="24" t="str">
        <f>INDEX(Resumes!$G$2:$G$101,MATCH(A42,Resumes!$A$2:$A$101,0))</f>
        <v>valuation, UPI/payments, campaign management, stakeholder management, SQL, Google Analytics</v>
      </c>
      <c r="F42" s="24" t="str">
        <f>INDEX(Resumes!$I$2:$I$101,MATCH(A42,Resumes!$A$2:$A$101,0))</f>
        <v>Aisha Gupta, CA from a tier-1 institute. 7.5 years of experience, most recently at an FMCG distributor. Key skills: valuation, UPI/payments, campaign management, stakeholder management, SQL, Google Analytics. Achievement: handled 120 hires in one year. Career gap: None.</v>
      </c>
      <c r="G42" s="24" t="str">
        <f t="shared" si="11"/>
        <v>handled 120 hires in one year</v>
      </c>
      <c r="H42" s="24">
        <f>INDEX('Scoring Prompt'!$C$22:$C$23,MATCH(B42,'Scoring Prompt'!$A$22:$A$23,0))</f>
        <v>2</v>
      </c>
      <c r="I42" s="24">
        <f>INDEX('Scoring Prompt'!$D$22:$D$23,MATCH(B42,'Scoring Prompt'!$A$22:$A$23,0))</f>
        <v>4</v>
      </c>
      <c r="J42" s="24">
        <f>INDEX('Scoring Prompt'!$B$27:$C$34,MATCH(C42,'Scoring Prompt'!$A$27:$A$34,0),MATCH(B42,'Scoring Prompt'!$B$26:$C$26,0))</f>
        <v>25</v>
      </c>
      <c r="K42" s="24">
        <f>IF(AND(D42&gt;=H42,D42&lt;=I42),'Scoring Prompt'!$B$47,IF(D42&lt;H42,IF(H42-D42&lt;=1,'Scoring Prompt'!$B$48,IF(H42-D42&lt;=2,'Scoring Prompt'!$B$49,'Scoring Prompt'!$B$50)),IF(D42-I42&lt;=2,'Scoring Prompt'!$B$51,'Scoring Prompt'!$B$52)))</f>
        <v>12</v>
      </c>
      <c r="L42" s="24">
        <f>IF(B42="JD3",SUMPRODUCT(--ISNUMBER(SEARCH('Scoring Prompt'!$E$22:$I$22,E42))),SUMPRODUCT(--ISNUMBER(SEARCH('Scoring Prompt'!$E$23:$I$23,E42))))</f>
        <v>1</v>
      </c>
      <c r="M42" s="24">
        <f t="shared" si="12"/>
        <v>8</v>
      </c>
      <c r="N42" s="24">
        <f>INDEX('Scoring Prompt'!$B$38:$C$43,MATCH(G42,'Scoring Prompt'!$A$38:$A$43,0),MATCH(B42,'Scoring Prompt'!$B$37:$C$37,0))</f>
        <v>3</v>
      </c>
      <c r="O42" s="24">
        <f t="shared" si="13"/>
        <v>48</v>
      </c>
      <c r="P42" s="24">
        <f>'Scored Shortlist'!E42</f>
        <v>25</v>
      </c>
      <c r="Q42" s="24">
        <f>'Scored Shortlist'!F42</f>
        <v>12</v>
      </c>
      <c r="R42" s="24">
        <f>'Scored Shortlist'!G42</f>
        <v>8</v>
      </c>
      <c r="S42" s="24">
        <f>'Scored Shortlist'!H42</f>
        <v>3</v>
      </c>
      <c r="T42" s="24">
        <f>'Scored Shortlist'!I42</f>
        <v>48</v>
      </c>
      <c r="U42" s="24">
        <f>IF('Scored Shortlist'!M42="none",0,(LEN('Scored Shortlist'!M42)-LEN(SUBSTITUTE('Scored Shortlist'!M42,"&lt;-","")))/2)</f>
        <v>0</v>
      </c>
      <c r="V42" s="24">
        <f t="shared" si="14"/>
        <v>1</v>
      </c>
      <c r="W42" s="24">
        <f t="shared" si="15"/>
        <v>1</v>
      </c>
      <c r="X42" s="24">
        <f t="shared" si="16"/>
        <v>1</v>
      </c>
      <c r="Y42" s="24">
        <f t="shared" si="17"/>
        <v>0</v>
      </c>
      <c r="Z42" s="24">
        <f t="shared" si="18"/>
        <v>0</v>
      </c>
      <c r="AA42" s="24">
        <f t="shared" si="19"/>
        <v>1</v>
      </c>
      <c r="AB42" s="25" t="str">
        <f t="shared" si="20"/>
        <v>OK</v>
      </c>
      <c r="AC42" s="24" t="str">
        <f t="shared" si="21"/>
        <v>Not shortlisted</v>
      </c>
      <c r="AD42" s="24" t="str">
        <f>IF(ISNUMBER(SEARCH(" "&amp;LEFT('Scored Shortlist'!B42,FIND(" ",'Scored Shortlist'!B42)-1)&amp;" "," "&amp;'Scored Shortlist'!N42&amp;" ")),"YES","no")</f>
        <v>no</v>
      </c>
    </row>
    <row r="43" spans="1:30" x14ac:dyDescent="0.25">
      <c r="A43" s="24" t="str">
        <f>'Scored Shortlist'!A43</f>
        <v>CV094</v>
      </c>
      <c r="B43" s="24" t="str">
        <f>'Scored Shortlist'!C43</f>
        <v>JD3</v>
      </c>
      <c r="C43" s="24" t="str">
        <f>INDEX(Resumes!$D$2:$D$101,MATCH(A43,Resumes!$A$2:$A$101,0))</f>
        <v>BBA</v>
      </c>
      <c r="D43" s="24">
        <f>INDEX(Resumes!$E$2:$E$101,MATCH(A43,Resumes!$A$2:$A$101,0))</f>
        <v>5.3</v>
      </c>
      <c r="E43" s="24" t="str">
        <f>INDEX(Resumes!$G$2:$G$101,MATCH(A43,Resumes!$A$2:$A$101,0))</f>
        <v>HR analytics, inventory planning, negotiation, Excel, Tableau</v>
      </c>
      <c r="F43" s="24" t="str">
        <f>INDEX(Resumes!$I$2:$I$101,MATCH(A43,Resumes!$A$2:$A$101,0))</f>
        <v>Aarav Khan, BBA from a tier-3 institute. 5.3 years of experience, most recently at a bank. Key skills: HR analytics, inventory planning, negotiation, Excel, Tableau. Achievement: cut reporting time by 40% by automating Excel reports. Career gap: None.</v>
      </c>
      <c r="G43" s="24" t="str">
        <f t="shared" si="11"/>
        <v>cut reporting time by 40% by automating Excel reports</v>
      </c>
      <c r="H43" s="24">
        <f>INDEX('Scoring Prompt'!$C$22:$C$23,MATCH(B43,'Scoring Prompt'!$A$22:$A$23,0))</f>
        <v>2</v>
      </c>
      <c r="I43" s="24">
        <f>INDEX('Scoring Prompt'!$D$22:$D$23,MATCH(B43,'Scoring Prompt'!$A$22:$A$23,0))</f>
        <v>4</v>
      </c>
      <c r="J43" s="24">
        <f>INDEX('Scoring Prompt'!$B$27:$C$34,MATCH(C43,'Scoring Prompt'!$A$27:$A$34,0),MATCH(B43,'Scoring Prompt'!$B$26:$C$26,0))</f>
        <v>6</v>
      </c>
      <c r="K43" s="24">
        <f>IF(AND(D43&gt;=H43,D43&lt;=I43),'Scoring Prompt'!$B$47,IF(D43&lt;H43,IF(H43-D43&lt;=1,'Scoring Prompt'!$B$48,IF(H43-D43&lt;=2,'Scoring Prompt'!$B$49,'Scoring Prompt'!$B$50)),IF(D43-I43&lt;=2,'Scoring Prompt'!$B$51,'Scoring Prompt'!$B$52)))</f>
        <v>20</v>
      </c>
      <c r="L43" s="24">
        <f>IF(B43="JD3",SUMPRODUCT(--ISNUMBER(SEARCH('Scoring Prompt'!$E$22:$I$22,E43))),SUMPRODUCT(--ISNUMBER(SEARCH('Scoring Prompt'!$E$23:$I$23,E43))))</f>
        <v>1</v>
      </c>
      <c r="M43" s="24">
        <f t="shared" si="12"/>
        <v>8</v>
      </c>
      <c r="N43" s="24">
        <f>INDEX('Scoring Prompt'!$B$38:$C$43,MATCH(G43,'Scoring Prompt'!$A$38:$A$43,0),MATCH(B43,'Scoring Prompt'!$B$37:$C$37,0))</f>
        <v>10</v>
      </c>
      <c r="O43" s="24">
        <f t="shared" si="13"/>
        <v>44</v>
      </c>
      <c r="P43" s="24">
        <f>'Scored Shortlist'!E43</f>
        <v>6</v>
      </c>
      <c r="Q43" s="24">
        <f>'Scored Shortlist'!F43</f>
        <v>20</v>
      </c>
      <c r="R43" s="24">
        <f>'Scored Shortlist'!G43</f>
        <v>12</v>
      </c>
      <c r="S43" s="24">
        <f>'Scored Shortlist'!H43</f>
        <v>10</v>
      </c>
      <c r="T43" s="24">
        <f>'Scored Shortlist'!I43</f>
        <v>48</v>
      </c>
      <c r="U43" s="24">
        <f>IF('Scored Shortlist'!M43="none",0,(LEN('Scored Shortlist'!M43)-LEN(SUBSTITUTE('Scored Shortlist'!M43,"&lt;-","")))/2)</f>
        <v>1</v>
      </c>
      <c r="V43" s="24">
        <f t="shared" si="14"/>
        <v>1</v>
      </c>
      <c r="W43" s="24">
        <f t="shared" si="15"/>
        <v>1</v>
      </c>
      <c r="X43" s="24">
        <f t="shared" si="16"/>
        <v>1</v>
      </c>
      <c r="Y43" s="24">
        <f t="shared" si="17"/>
        <v>4</v>
      </c>
      <c r="Z43" s="24">
        <f t="shared" si="18"/>
        <v>4</v>
      </c>
      <c r="AA43" s="24">
        <f t="shared" si="19"/>
        <v>1</v>
      </c>
      <c r="AB43" s="25" t="str">
        <f t="shared" si="20"/>
        <v>OK</v>
      </c>
      <c r="AC43" s="24" t="str">
        <f t="shared" si="21"/>
        <v>Not shortlisted</v>
      </c>
      <c r="AD43" s="24" t="str">
        <f>IF(ISNUMBER(SEARCH(" "&amp;LEFT('Scored Shortlist'!B43,FIND(" ",'Scored Shortlist'!B43)-1)&amp;" "," "&amp;'Scored Shortlist'!N43&amp;" ")),"YES","no")</f>
        <v>no</v>
      </c>
    </row>
    <row r="44" spans="1:30" x14ac:dyDescent="0.25">
      <c r="A44" s="24" t="str">
        <f>'Scored Shortlist'!A44</f>
        <v>CV020</v>
      </c>
      <c r="B44" s="24" t="str">
        <f>'Scored Shortlist'!C44</f>
        <v>JD3</v>
      </c>
      <c r="C44" s="24" t="str">
        <f>INDEX(Resumes!$D$2:$D$101,MATCH(A44,Resumes!$A$2:$A$101,0))</f>
        <v>B.Com</v>
      </c>
      <c r="D44" s="24">
        <f>INDEX(Resumes!$E$2:$E$101,MATCH(A44,Resumes!$A$2:$A$101,0))</f>
        <v>2.2999999999999998</v>
      </c>
      <c r="E44" s="24" t="str">
        <f>INDEX(Resumes!$G$2:$G$101,MATCH(A44,Resumes!$A$2:$A$101,0))</f>
        <v>content writing, Python, stakeholder management, A/B testing, user research, negotiation, recruitment</v>
      </c>
      <c r="F44" s="24" t="str">
        <f>INDEX(Resumes!$I$2:$I$101,MATCH(A44,Resumes!$A$2:$A$101,0))</f>
        <v>Pranav Chatterjee, B.Com from a tier-1 institute. 2.3 years of experience, most recently at an IT services firm. Key skills: content writing, Python, stakeholder management, A/B testing, user research, negotiation, recruitment. Achievement: built a Power BI sales dashboard used by 30 managers. Career gap: None.</v>
      </c>
      <c r="G44" s="24" t="str">
        <f t="shared" si="11"/>
        <v>built a Power BI sales dashboard used by 30 managers</v>
      </c>
      <c r="H44" s="24">
        <f>INDEX('Scoring Prompt'!$C$22:$C$23,MATCH(B44,'Scoring Prompt'!$A$22:$A$23,0))</f>
        <v>2</v>
      </c>
      <c r="I44" s="24">
        <f>INDEX('Scoring Prompt'!$D$22:$D$23,MATCH(B44,'Scoring Prompt'!$A$22:$A$23,0))</f>
        <v>4</v>
      </c>
      <c r="J44" s="24">
        <f>INDEX('Scoring Prompt'!$B$27:$C$34,MATCH(C44,'Scoring Prompt'!$A$27:$A$34,0),MATCH(B44,'Scoring Prompt'!$B$26:$C$26,0))</f>
        <v>8</v>
      </c>
      <c r="K44" s="24">
        <f>IF(AND(D44&gt;=H44,D44&lt;=I44),'Scoring Prompt'!$B$47,IF(D44&lt;H44,IF(H44-D44&lt;=1,'Scoring Prompt'!$B$48,IF(H44-D44&lt;=2,'Scoring Prompt'!$B$49,'Scoring Prompt'!$B$50)),IF(D44-I44&lt;=2,'Scoring Prompt'!$B$51,'Scoring Prompt'!$B$52)))</f>
        <v>25</v>
      </c>
      <c r="L44" s="24">
        <f>IF(B44="JD3",SUMPRODUCT(--ISNUMBER(SEARCH('Scoring Prompt'!$E$22:$I$22,E44))),SUMPRODUCT(--ISNUMBER(SEARCH('Scoring Prompt'!$E$23:$I$23,E44))))</f>
        <v>0</v>
      </c>
      <c r="M44" s="24">
        <f t="shared" si="12"/>
        <v>0</v>
      </c>
      <c r="N44" s="24">
        <f>INDEX('Scoring Prompt'!$B$38:$C$43,MATCH(G44,'Scoring Prompt'!$A$38:$A$43,0),MATCH(B44,'Scoring Prompt'!$B$37:$C$37,0))</f>
        <v>10</v>
      </c>
      <c r="O44" s="24">
        <f t="shared" si="13"/>
        <v>43</v>
      </c>
      <c r="P44" s="24">
        <f>'Scored Shortlist'!E44</f>
        <v>8</v>
      </c>
      <c r="Q44" s="24">
        <f>'Scored Shortlist'!F44</f>
        <v>25</v>
      </c>
      <c r="R44" s="24">
        <f>'Scored Shortlist'!G44</f>
        <v>4</v>
      </c>
      <c r="S44" s="24">
        <f>'Scored Shortlist'!H44</f>
        <v>10</v>
      </c>
      <c r="T44" s="24">
        <f>'Scored Shortlist'!I44</f>
        <v>47</v>
      </c>
      <c r="U44" s="24">
        <f>IF('Scored Shortlist'!M44="none",0,(LEN('Scored Shortlist'!M44)-LEN(SUBSTITUTE('Scored Shortlist'!M44,"&lt;-","")))/2)</f>
        <v>1</v>
      </c>
      <c r="V44" s="24">
        <f t="shared" si="14"/>
        <v>1</v>
      </c>
      <c r="W44" s="24">
        <f t="shared" si="15"/>
        <v>1</v>
      </c>
      <c r="X44" s="24">
        <f t="shared" si="16"/>
        <v>1</v>
      </c>
      <c r="Y44" s="24">
        <f t="shared" si="17"/>
        <v>4</v>
      </c>
      <c r="Z44" s="24">
        <f t="shared" si="18"/>
        <v>4</v>
      </c>
      <c r="AA44" s="24">
        <f t="shared" si="19"/>
        <v>1</v>
      </c>
      <c r="AB44" s="25" t="str">
        <f t="shared" si="20"/>
        <v>OK</v>
      </c>
      <c r="AC44" s="24" t="str">
        <f t="shared" si="21"/>
        <v>Not shortlisted</v>
      </c>
      <c r="AD44" s="24" t="str">
        <f>IF(ISNUMBER(SEARCH(" "&amp;LEFT('Scored Shortlist'!B44,FIND(" ",'Scored Shortlist'!B44)-1)&amp;" "," "&amp;'Scored Shortlist'!N44&amp;" ")),"YES","no")</f>
        <v>no</v>
      </c>
    </row>
    <row r="45" spans="1:30" x14ac:dyDescent="0.25">
      <c r="A45" s="24" t="str">
        <f>'Scored Shortlist'!A45</f>
        <v>CV030</v>
      </c>
      <c r="B45" s="24" t="str">
        <f>'Scored Shortlist'!C45</f>
        <v>JD3</v>
      </c>
      <c r="C45" s="24" t="str">
        <f>INDEX(Resumes!$D$2:$D$101,MATCH(A45,Resumes!$A$2:$A$101,0))</f>
        <v>BBA</v>
      </c>
      <c r="D45" s="24">
        <f>INDEX(Resumes!$E$2:$E$101,MATCH(A45,Resumes!$A$2:$A$101,0))</f>
        <v>2.2000000000000002</v>
      </c>
      <c r="E45" s="24" t="str">
        <f>INDEX(Resumes!$G$2:$G$101,MATCH(A45,Resumes!$A$2:$A$101,0))</f>
        <v>Google Analytics, public speaking, Power BI, content writing, valuation, A/B testing, labour law, UPI/payments</v>
      </c>
      <c r="F45" s="24" t="str">
        <f>INDEX(Resumes!$I$2:$I$101,MATCH(A45,Resumes!$A$2:$A$101,0))</f>
        <v>Diya Verma, BBA from a tier-3 institute. 2.2 years of experience, most recently at an IT services firm. Key skills: Google Analytics, public speaking, Power BI, content writing, valuation, A/B testing, labour law, UPI/payments. Achievement: no major achievement listed. Career gap: None.</v>
      </c>
      <c r="G45" s="24" t="str">
        <f t="shared" si="11"/>
        <v>no major achievement listed</v>
      </c>
      <c r="H45" s="24">
        <f>INDEX('Scoring Prompt'!$C$22:$C$23,MATCH(B45,'Scoring Prompt'!$A$22:$A$23,0))</f>
        <v>2</v>
      </c>
      <c r="I45" s="24">
        <f>INDEX('Scoring Prompt'!$D$22:$D$23,MATCH(B45,'Scoring Prompt'!$A$22:$A$23,0))</f>
        <v>4</v>
      </c>
      <c r="J45" s="24">
        <f>INDEX('Scoring Prompt'!$B$27:$C$34,MATCH(C45,'Scoring Prompt'!$A$27:$A$34,0),MATCH(B45,'Scoring Prompt'!$B$26:$C$26,0))</f>
        <v>6</v>
      </c>
      <c r="K45" s="24">
        <f>IF(AND(D45&gt;=H45,D45&lt;=I45),'Scoring Prompt'!$B$47,IF(D45&lt;H45,IF(H45-D45&lt;=1,'Scoring Prompt'!$B$48,IF(H45-D45&lt;=2,'Scoring Prompt'!$B$49,'Scoring Prompt'!$B$50)),IF(D45-I45&lt;=2,'Scoring Prompt'!$B$51,'Scoring Prompt'!$B$52)))</f>
        <v>25</v>
      </c>
      <c r="L45" s="24">
        <f>IF(B45="JD3",SUMPRODUCT(--ISNUMBER(SEARCH('Scoring Prompt'!$E$22:$I$22,E45))),SUMPRODUCT(--ISNUMBER(SEARCH('Scoring Prompt'!$E$23:$I$23,E45))))</f>
        <v>2</v>
      </c>
      <c r="M45" s="24">
        <f t="shared" si="12"/>
        <v>16</v>
      </c>
      <c r="N45" s="24">
        <f>INDEX('Scoring Prompt'!$B$38:$C$43,MATCH(G45,'Scoring Prompt'!$A$38:$A$43,0),MATCH(B45,'Scoring Prompt'!$B$37:$C$37,0))</f>
        <v>0</v>
      </c>
      <c r="O45" s="24">
        <f t="shared" si="13"/>
        <v>47</v>
      </c>
      <c r="P45" s="24">
        <f>'Scored Shortlist'!E45</f>
        <v>6</v>
      </c>
      <c r="Q45" s="24">
        <f>'Scored Shortlist'!F45</f>
        <v>25</v>
      </c>
      <c r="R45" s="24">
        <f>'Scored Shortlist'!G45</f>
        <v>16</v>
      </c>
      <c r="S45" s="24">
        <f>'Scored Shortlist'!H45</f>
        <v>0</v>
      </c>
      <c r="T45" s="24">
        <f>'Scored Shortlist'!I45</f>
        <v>47</v>
      </c>
      <c r="U45" s="24">
        <f>IF('Scored Shortlist'!M45="none",0,(LEN('Scored Shortlist'!M45)-LEN(SUBSTITUTE('Scored Shortlist'!M45,"&lt;-","")))/2)</f>
        <v>0</v>
      </c>
      <c r="V45" s="24">
        <f t="shared" si="14"/>
        <v>1</v>
      </c>
      <c r="W45" s="24">
        <f t="shared" si="15"/>
        <v>1</v>
      </c>
      <c r="X45" s="24">
        <f t="shared" si="16"/>
        <v>1</v>
      </c>
      <c r="Y45" s="24">
        <f t="shared" si="17"/>
        <v>0</v>
      </c>
      <c r="Z45" s="24">
        <f t="shared" si="18"/>
        <v>0</v>
      </c>
      <c r="AA45" s="24">
        <f t="shared" si="19"/>
        <v>1</v>
      </c>
      <c r="AB45" s="25" t="str">
        <f t="shared" si="20"/>
        <v>OK</v>
      </c>
      <c r="AC45" s="24" t="str">
        <f t="shared" si="21"/>
        <v>Not shortlisted</v>
      </c>
      <c r="AD45" s="24" t="str">
        <f>IF(ISNUMBER(SEARCH(" "&amp;LEFT('Scored Shortlist'!B45,FIND(" ",'Scored Shortlist'!B45)-1)&amp;" "," "&amp;'Scored Shortlist'!N45&amp;" ")),"YES","no")</f>
        <v>no</v>
      </c>
    </row>
    <row r="46" spans="1:30" x14ac:dyDescent="0.25">
      <c r="A46" s="24" t="str">
        <f>'Scored Shortlist'!A46</f>
        <v>CV057</v>
      </c>
      <c r="B46" s="24" t="str">
        <f>'Scored Shortlist'!C46</f>
        <v>JD3</v>
      </c>
      <c r="C46" s="24" t="str">
        <f>INDEX(Resumes!$D$2:$D$101,MATCH(A46,Resumes!$A$2:$A$101,0))</f>
        <v>MBA Operations</v>
      </c>
      <c r="D46" s="24">
        <f>INDEX(Resumes!$E$2:$E$101,MATCH(A46,Resumes!$A$2:$A$101,0))</f>
        <v>4.5999999999999996</v>
      </c>
      <c r="E46" s="24" t="str">
        <f>INDEX(Resumes!$G$2:$G$101,MATCH(A46,Resumes!$A$2:$A$101,0))</f>
        <v>Excel, agile, SEO, Tableau, UPI/payments, public speaking</v>
      </c>
      <c r="F46" s="24" t="str">
        <f>INDEX(Resumes!$I$2:$I$101,MATCH(A46,Resumes!$A$2:$A$101,0))</f>
        <v>Divya Chatterjee, MBA Operations from a tier-2 institute. 4.6 years of experience, most recently at a consulting firm. Key skills: Excel, agile, SEO, Tableau, UPI/payments, public speaking. Achievement: handled 120 hires in one year. Career gap: 1-year career break (family).</v>
      </c>
      <c r="G46" s="24" t="str">
        <f t="shared" si="11"/>
        <v>handled 120 hires in one year</v>
      </c>
      <c r="H46" s="24">
        <f>INDEX('Scoring Prompt'!$C$22:$C$23,MATCH(B46,'Scoring Prompt'!$A$22:$A$23,0))</f>
        <v>2</v>
      </c>
      <c r="I46" s="24">
        <f>INDEX('Scoring Prompt'!$D$22:$D$23,MATCH(B46,'Scoring Prompt'!$A$22:$A$23,0))</f>
        <v>4</v>
      </c>
      <c r="J46" s="24">
        <f>INDEX('Scoring Prompt'!$B$27:$C$34,MATCH(C46,'Scoring Prompt'!$A$27:$A$34,0),MATCH(B46,'Scoring Prompt'!$B$26:$C$26,0))</f>
        <v>12</v>
      </c>
      <c r="K46" s="24">
        <f>IF(AND(D46&gt;=H46,D46&lt;=I46),'Scoring Prompt'!$B$47,IF(D46&lt;H46,IF(H46-D46&lt;=1,'Scoring Prompt'!$B$48,IF(H46-D46&lt;=2,'Scoring Prompt'!$B$49,'Scoring Prompt'!$B$50)),IF(D46-I46&lt;=2,'Scoring Prompt'!$B$51,'Scoring Prompt'!$B$52)))</f>
        <v>20</v>
      </c>
      <c r="L46" s="24">
        <f>IF(B46="JD3",SUMPRODUCT(--ISNUMBER(SEARCH('Scoring Prompt'!$E$22:$I$22,E46))),SUMPRODUCT(--ISNUMBER(SEARCH('Scoring Prompt'!$E$23:$I$23,E46))))</f>
        <v>1</v>
      </c>
      <c r="M46" s="24">
        <f t="shared" si="12"/>
        <v>8</v>
      </c>
      <c r="N46" s="24">
        <f>INDEX('Scoring Prompt'!$B$38:$C$43,MATCH(G46,'Scoring Prompt'!$A$38:$A$43,0),MATCH(B46,'Scoring Prompt'!$B$37:$C$37,0))</f>
        <v>3</v>
      </c>
      <c r="O46" s="24">
        <f t="shared" si="13"/>
        <v>43</v>
      </c>
      <c r="P46" s="24">
        <f>'Scored Shortlist'!E46</f>
        <v>12</v>
      </c>
      <c r="Q46" s="24">
        <f>'Scored Shortlist'!F46</f>
        <v>20</v>
      </c>
      <c r="R46" s="24">
        <f>'Scored Shortlist'!G46</f>
        <v>12</v>
      </c>
      <c r="S46" s="24">
        <f>'Scored Shortlist'!H46</f>
        <v>3</v>
      </c>
      <c r="T46" s="24">
        <f>'Scored Shortlist'!I46</f>
        <v>47</v>
      </c>
      <c r="U46" s="24">
        <f>IF('Scored Shortlist'!M46="none",0,(LEN('Scored Shortlist'!M46)-LEN(SUBSTITUTE('Scored Shortlist'!M46,"&lt;-","")))/2)</f>
        <v>1</v>
      </c>
      <c r="V46" s="24">
        <f t="shared" si="14"/>
        <v>1</v>
      </c>
      <c r="W46" s="24">
        <f t="shared" si="15"/>
        <v>1</v>
      </c>
      <c r="X46" s="24">
        <f t="shared" si="16"/>
        <v>1</v>
      </c>
      <c r="Y46" s="24">
        <f t="shared" si="17"/>
        <v>4</v>
      </c>
      <c r="Z46" s="24">
        <f t="shared" si="18"/>
        <v>4</v>
      </c>
      <c r="AA46" s="24">
        <f t="shared" si="19"/>
        <v>1</v>
      </c>
      <c r="AB46" s="25" t="str">
        <f t="shared" si="20"/>
        <v>OK</v>
      </c>
      <c r="AC46" s="24" t="str">
        <f t="shared" si="21"/>
        <v>Not shortlisted</v>
      </c>
      <c r="AD46" s="24" t="str">
        <f>IF(ISNUMBER(SEARCH(" "&amp;LEFT('Scored Shortlist'!B46,FIND(" ",'Scored Shortlist'!B46)-1)&amp;" "," "&amp;'Scored Shortlist'!N46&amp;" ")),"YES","no")</f>
        <v>no</v>
      </c>
    </row>
    <row r="47" spans="1:30" x14ac:dyDescent="0.25">
      <c r="A47" s="24" t="str">
        <f>'Scored Shortlist'!A47</f>
        <v>CV063</v>
      </c>
      <c r="B47" s="24" t="str">
        <f>'Scored Shortlist'!C47</f>
        <v>JD3</v>
      </c>
      <c r="C47" s="24" t="str">
        <f>INDEX(Resumes!$D$2:$D$101,MATCH(A47,Resumes!$A$2:$A$101,0))</f>
        <v>MBA Operations</v>
      </c>
      <c r="D47" s="24">
        <f>INDEX(Resumes!$E$2:$E$101,MATCH(A47,Resumes!$A$2:$A$101,0))</f>
        <v>4.3</v>
      </c>
      <c r="E47" s="24" t="str">
        <f>INDEX(Resumes!$G$2:$G$101,MATCH(A47,Resumes!$A$2:$A$101,0))</f>
        <v>Tableau, employee relations, recruitment, SQL, Excel, campaign management, labour law, A/B testing</v>
      </c>
      <c r="F47" s="24" t="str">
        <f>INDEX(Resumes!$I$2:$I$101,MATCH(A47,Resumes!$A$2:$A$101,0))</f>
        <v>Pooja Verma, MBA Operations from a tier-2 institute. 4.3 years of experience, most recently at a consulting firm. Key skills: Tableau, employee relations, recruitment, SQL, Excel, campaign management, labour law, A/B testing. Achievement: handled 120 hires in one year. Career gap: None.</v>
      </c>
      <c r="G47" s="24" t="str">
        <f t="shared" si="11"/>
        <v>handled 120 hires in one year</v>
      </c>
      <c r="H47" s="24">
        <f>INDEX('Scoring Prompt'!$C$22:$C$23,MATCH(B47,'Scoring Prompt'!$A$22:$A$23,0))</f>
        <v>2</v>
      </c>
      <c r="I47" s="24">
        <f>INDEX('Scoring Prompt'!$D$22:$D$23,MATCH(B47,'Scoring Prompt'!$A$22:$A$23,0))</f>
        <v>4</v>
      </c>
      <c r="J47" s="24">
        <f>INDEX('Scoring Prompt'!$B$27:$C$34,MATCH(C47,'Scoring Prompt'!$A$27:$A$34,0),MATCH(B47,'Scoring Prompt'!$B$26:$C$26,0))</f>
        <v>12</v>
      </c>
      <c r="K47" s="24">
        <f>IF(AND(D47&gt;=H47,D47&lt;=I47),'Scoring Prompt'!$B$47,IF(D47&lt;H47,IF(H47-D47&lt;=1,'Scoring Prompt'!$B$48,IF(H47-D47&lt;=2,'Scoring Prompt'!$B$49,'Scoring Prompt'!$B$50)),IF(D47-I47&lt;=2,'Scoring Prompt'!$B$51,'Scoring Prompt'!$B$52)))</f>
        <v>20</v>
      </c>
      <c r="L47" s="24">
        <f>IF(B47="JD3",SUMPRODUCT(--ISNUMBER(SEARCH('Scoring Prompt'!$E$22:$I$22,E47))),SUMPRODUCT(--ISNUMBER(SEARCH('Scoring Prompt'!$E$23:$I$23,E47))))</f>
        <v>1</v>
      </c>
      <c r="M47" s="24">
        <f t="shared" si="12"/>
        <v>8</v>
      </c>
      <c r="N47" s="24">
        <f>INDEX('Scoring Prompt'!$B$38:$C$43,MATCH(G47,'Scoring Prompt'!$A$38:$A$43,0),MATCH(B47,'Scoring Prompt'!$B$37:$C$37,0))</f>
        <v>3</v>
      </c>
      <c r="O47" s="24">
        <f t="shared" si="13"/>
        <v>43</v>
      </c>
      <c r="P47" s="24">
        <f>'Scored Shortlist'!E47</f>
        <v>12</v>
      </c>
      <c r="Q47" s="24">
        <f>'Scored Shortlist'!F47</f>
        <v>20</v>
      </c>
      <c r="R47" s="24">
        <f>'Scored Shortlist'!G47</f>
        <v>12</v>
      </c>
      <c r="S47" s="24">
        <f>'Scored Shortlist'!H47</f>
        <v>3</v>
      </c>
      <c r="T47" s="24">
        <f>'Scored Shortlist'!I47</f>
        <v>47</v>
      </c>
      <c r="U47" s="24">
        <f>IF('Scored Shortlist'!M47="none",0,(LEN('Scored Shortlist'!M47)-LEN(SUBSTITUTE('Scored Shortlist'!M47,"&lt;-","")))/2)</f>
        <v>1</v>
      </c>
      <c r="V47" s="24">
        <f t="shared" si="14"/>
        <v>1</v>
      </c>
      <c r="W47" s="24">
        <f t="shared" si="15"/>
        <v>1</v>
      </c>
      <c r="X47" s="24">
        <f t="shared" si="16"/>
        <v>1</v>
      </c>
      <c r="Y47" s="24">
        <f t="shared" si="17"/>
        <v>4</v>
      </c>
      <c r="Z47" s="24">
        <f t="shared" si="18"/>
        <v>4</v>
      </c>
      <c r="AA47" s="24">
        <f t="shared" si="19"/>
        <v>1</v>
      </c>
      <c r="AB47" s="25" t="str">
        <f t="shared" si="20"/>
        <v>OK</v>
      </c>
      <c r="AC47" s="24" t="str">
        <f t="shared" si="21"/>
        <v>Not shortlisted</v>
      </c>
      <c r="AD47" s="24" t="str">
        <f>IF(ISNUMBER(SEARCH(" "&amp;LEFT('Scored Shortlist'!B47,FIND(" ",'Scored Shortlist'!B47)-1)&amp;" "," "&amp;'Scored Shortlist'!N47&amp;" ")),"YES","no")</f>
        <v>no</v>
      </c>
    </row>
    <row r="48" spans="1:30" x14ac:dyDescent="0.25">
      <c r="A48" s="24" t="str">
        <f>'Scored Shortlist'!A48</f>
        <v>CV079</v>
      </c>
      <c r="B48" s="24" t="str">
        <f>'Scored Shortlist'!C48</f>
        <v>JD3</v>
      </c>
      <c r="C48" s="24" t="str">
        <f>INDEX(Resumes!$D$2:$D$101,MATCH(A48,Resumes!$A$2:$A$101,0))</f>
        <v>B.Com</v>
      </c>
      <c r="D48" s="24">
        <f>INDEX(Resumes!$E$2:$E$101,MATCH(A48,Resumes!$A$2:$A$101,0))</f>
        <v>2.1</v>
      </c>
      <c r="E48" s="24" t="str">
        <f>INDEX(Resumes!$G$2:$G$101,MATCH(A48,Resumes!$A$2:$A$101,0))</f>
        <v>user research, UPI/payments, public speaking, Python</v>
      </c>
      <c r="F48" s="24" t="str">
        <f>INDEX(Resumes!$I$2:$I$101,MATCH(A48,Resumes!$A$2:$A$101,0))</f>
        <v>Divya Chatterjee, B.Com from a tier-2 institute. 2.1 years of experience, most recently at a fintech start-up. Key skills: user research, UPI/payments, public speaking, Python. Achievement: built a Power BI sales dashboard used by 30 managers. Career gap: 1-year career break (family).</v>
      </c>
      <c r="G48" s="24" t="str">
        <f t="shared" si="11"/>
        <v>built a Power BI sales dashboard used by 30 managers</v>
      </c>
      <c r="H48" s="24">
        <f>INDEX('Scoring Prompt'!$C$22:$C$23,MATCH(B48,'Scoring Prompt'!$A$22:$A$23,0))</f>
        <v>2</v>
      </c>
      <c r="I48" s="24">
        <f>INDEX('Scoring Prompt'!$D$22:$D$23,MATCH(B48,'Scoring Prompt'!$A$22:$A$23,0))</f>
        <v>4</v>
      </c>
      <c r="J48" s="24">
        <f>INDEX('Scoring Prompt'!$B$27:$C$34,MATCH(C48,'Scoring Prompt'!$A$27:$A$34,0),MATCH(B48,'Scoring Prompt'!$B$26:$C$26,0))</f>
        <v>8</v>
      </c>
      <c r="K48" s="24">
        <f>IF(AND(D48&gt;=H48,D48&lt;=I48),'Scoring Prompt'!$B$47,IF(D48&lt;H48,IF(H48-D48&lt;=1,'Scoring Prompt'!$B$48,IF(H48-D48&lt;=2,'Scoring Prompt'!$B$49,'Scoring Prompt'!$B$50)),IF(D48-I48&lt;=2,'Scoring Prompt'!$B$51,'Scoring Prompt'!$B$52)))</f>
        <v>25</v>
      </c>
      <c r="L48" s="24">
        <f>IF(B48="JD3",SUMPRODUCT(--ISNUMBER(SEARCH('Scoring Prompt'!$E$22:$I$22,E48))),SUMPRODUCT(--ISNUMBER(SEARCH('Scoring Prompt'!$E$23:$I$23,E48))))</f>
        <v>0</v>
      </c>
      <c r="M48" s="24">
        <f t="shared" si="12"/>
        <v>0</v>
      </c>
      <c r="N48" s="24">
        <f>INDEX('Scoring Prompt'!$B$38:$C$43,MATCH(G48,'Scoring Prompt'!$A$38:$A$43,0),MATCH(B48,'Scoring Prompt'!$B$37:$C$37,0))</f>
        <v>10</v>
      </c>
      <c r="O48" s="24">
        <f t="shared" si="13"/>
        <v>43</v>
      </c>
      <c r="P48" s="24">
        <f>'Scored Shortlist'!E48</f>
        <v>8</v>
      </c>
      <c r="Q48" s="24">
        <f>'Scored Shortlist'!F48</f>
        <v>25</v>
      </c>
      <c r="R48" s="24">
        <f>'Scored Shortlist'!G48</f>
        <v>4</v>
      </c>
      <c r="S48" s="24">
        <f>'Scored Shortlist'!H48</f>
        <v>10</v>
      </c>
      <c r="T48" s="24">
        <f>'Scored Shortlist'!I48</f>
        <v>47</v>
      </c>
      <c r="U48" s="24">
        <f>IF('Scored Shortlist'!M48="none",0,(LEN('Scored Shortlist'!M48)-LEN(SUBSTITUTE('Scored Shortlist'!M48,"&lt;-","")))/2)</f>
        <v>1</v>
      </c>
      <c r="V48" s="24">
        <f t="shared" si="14"/>
        <v>1</v>
      </c>
      <c r="W48" s="24">
        <f t="shared" si="15"/>
        <v>1</v>
      </c>
      <c r="X48" s="24">
        <f t="shared" si="16"/>
        <v>1</v>
      </c>
      <c r="Y48" s="24">
        <f t="shared" si="17"/>
        <v>4</v>
      </c>
      <c r="Z48" s="24">
        <f t="shared" si="18"/>
        <v>4</v>
      </c>
      <c r="AA48" s="24">
        <f t="shared" si="19"/>
        <v>1</v>
      </c>
      <c r="AB48" s="25" t="str">
        <f t="shared" si="20"/>
        <v>OK</v>
      </c>
      <c r="AC48" s="24" t="str">
        <f t="shared" si="21"/>
        <v>Not shortlisted</v>
      </c>
      <c r="AD48" s="24" t="str">
        <f>IF(ISNUMBER(SEARCH(" "&amp;LEFT('Scored Shortlist'!B48,FIND(" ",'Scored Shortlist'!B48)-1)&amp;" "," "&amp;'Scored Shortlist'!N48&amp;" ")),"YES","no")</f>
        <v>no</v>
      </c>
    </row>
    <row r="49" spans="1:30" x14ac:dyDescent="0.25">
      <c r="A49" s="24" t="str">
        <f>'Scored Shortlist'!A49</f>
        <v>CV056</v>
      </c>
      <c r="B49" s="24" t="str">
        <f>'Scored Shortlist'!C49</f>
        <v>JD3</v>
      </c>
      <c r="C49" s="24" t="str">
        <f>INDEX(Resumes!$D$2:$D$101,MATCH(A49,Resumes!$A$2:$A$101,0))</f>
        <v>B.Tech + MBA</v>
      </c>
      <c r="D49" s="24">
        <f>INDEX(Resumes!$E$2:$E$101,MATCH(A49,Resumes!$A$2:$A$101,0))</f>
        <v>5.9</v>
      </c>
      <c r="E49" s="24" t="str">
        <f>INDEX(Resumes!$G$2:$G$101,MATCH(A49,Resumes!$A$2:$A$101,0))</f>
        <v>SEO, product roadmap, Tableau, SQL, recruitment, content writing</v>
      </c>
      <c r="F49" s="24" t="str">
        <f>INDEX(Resumes!$I$2:$I$101,MATCH(A49,Resumes!$A$2:$A$101,0))</f>
        <v>Gurpreet Iyer, B.Tech + MBA from a tier-3 institute. 5.9 years of experience, most recently at a consulting firm. Key skills: SEO, product roadmap, Tableau, SQL, recruitment, content writing. Achievement: built a Power BI sales dashboard used by 30 managers. Career gap: None.</v>
      </c>
      <c r="G49" s="24" t="str">
        <f t="shared" si="11"/>
        <v>built a Power BI sales dashboard used by 30 managers</v>
      </c>
      <c r="H49" s="24">
        <f>INDEX('Scoring Prompt'!$C$22:$C$23,MATCH(B49,'Scoring Prompt'!$A$22:$A$23,0))</f>
        <v>2</v>
      </c>
      <c r="I49" s="24">
        <f>INDEX('Scoring Prompt'!$D$22:$D$23,MATCH(B49,'Scoring Prompt'!$A$22:$A$23,0))</f>
        <v>4</v>
      </c>
      <c r="J49" s="24">
        <f>INDEX('Scoring Prompt'!$B$27:$C$34,MATCH(C49,'Scoring Prompt'!$A$27:$A$34,0),MATCH(B49,'Scoring Prompt'!$B$26:$C$26,0))</f>
        <v>12</v>
      </c>
      <c r="K49" s="24">
        <f>IF(AND(D49&gt;=H49,D49&lt;=I49),'Scoring Prompt'!$B$47,IF(D49&lt;H49,IF(H49-D49&lt;=1,'Scoring Prompt'!$B$48,IF(H49-D49&lt;=2,'Scoring Prompt'!$B$49,'Scoring Prompt'!$B$50)),IF(D49-I49&lt;=2,'Scoring Prompt'!$B$51,'Scoring Prompt'!$B$52)))</f>
        <v>20</v>
      </c>
      <c r="L49" s="24">
        <f>IF(B49="JD3",SUMPRODUCT(--ISNUMBER(SEARCH('Scoring Prompt'!$E$22:$I$22,E49))),SUMPRODUCT(--ISNUMBER(SEARCH('Scoring Prompt'!$E$23:$I$23,E49))))</f>
        <v>0</v>
      </c>
      <c r="M49" s="24">
        <f t="shared" si="12"/>
        <v>0</v>
      </c>
      <c r="N49" s="24">
        <f>INDEX('Scoring Prompt'!$B$38:$C$43,MATCH(G49,'Scoring Prompt'!$A$38:$A$43,0),MATCH(B49,'Scoring Prompt'!$B$37:$C$37,0))</f>
        <v>10</v>
      </c>
      <c r="O49" s="24">
        <f t="shared" si="13"/>
        <v>42</v>
      </c>
      <c r="P49" s="24">
        <f>'Scored Shortlist'!E49</f>
        <v>12</v>
      </c>
      <c r="Q49" s="24">
        <f>'Scored Shortlist'!F49</f>
        <v>20</v>
      </c>
      <c r="R49" s="24">
        <f>'Scored Shortlist'!G49</f>
        <v>4</v>
      </c>
      <c r="S49" s="24">
        <f>'Scored Shortlist'!H49</f>
        <v>10</v>
      </c>
      <c r="T49" s="24">
        <f>'Scored Shortlist'!I49</f>
        <v>46</v>
      </c>
      <c r="U49" s="24">
        <f>IF('Scored Shortlist'!M49="none",0,(LEN('Scored Shortlist'!M49)-LEN(SUBSTITUTE('Scored Shortlist'!M49,"&lt;-","")))/2)</f>
        <v>1</v>
      </c>
      <c r="V49" s="24">
        <f t="shared" si="14"/>
        <v>1</v>
      </c>
      <c r="W49" s="24">
        <f t="shared" si="15"/>
        <v>1</v>
      </c>
      <c r="X49" s="24">
        <f t="shared" si="16"/>
        <v>1</v>
      </c>
      <c r="Y49" s="24">
        <f t="shared" si="17"/>
        <v>4</v>
      </c>
      <c r="Z49" s="24">
        <f t="shared" si="18"/>
        <v>4</v>
      </c>
      <c r="AA49" s="24">
        <f t="shared" si="19"/>
        <v>1</v>
      </c>
      <c r="AB49" s="25" t="str">
        <f t="shared" si="20"/>
        <v>OK</v>
      </c>
      <c r="AC49" s="24" t="str">
        <f t="shared" si="21"/>
        <v>Not shortlisted</v>
      </c>
      <c r="AD49" s="24" t="str">
        <f>IF(ISNUMBER(SEARCH(" "&amp;LEFT('Scored Shortlist'!B49,FIND(" ",'Scored Shortlist'!B49)-1)&amp;" "," "&amp;'Scored Shortlist'!N49&amp;" ")),"YES","no")</f>
        <v>no</v>
      </c>
    </row>
    <row r="50" spans="1:30" x14ac:dyDescent="0.25">
      <c r="A50" s="24" t="str">
        <f>'Scored Shortlist'!A50</f>
        <v>CV058</v>
      </c>
      <c r="B50" s="24" t="str">
        <f>'Scored Shortlist'!C50</f>
        <v>JD3</v>
      </c>
      <c r="C50" s="24" t="str">
        <f>INDEX(Resumes!$D$2:$D$101,MATCH(A50,Resumes!$A$2:$A$101,0))</f>
        <v>MBA Operations</v>
      </c>
      <c r="D50" s="24">
        <f>INDEX(Resumes!$E$2:$E$101,MATCH(A50,Resumes!$A$2:$A$101,0))</f>
        <v>8.9</v>
      </c>
      <c r="E50" s="24" t="str">
        <f>INDEX(Resumes!$G$2:$G$101,MATCH(A50,Resumes!$A$2:$A$101,0))</f>
        <v>SAP MM, agile, A/B testing, Tableau, Power BI, stakeholder management, negotiation, SEO</v>
      </c>
      <c r="F50" s="24" t="str">
        <f>INDEX(Resumes!$I$2:$I$101,MATCH(A50,Resumes!$A$2:$A$101,0))</f>
        <v>Ritu Pawar, MBA Operations from a tier-3 institute. 8.9 years of experience, most recently at a consulting firm. Key skills: SAP MM, agile, A/B testing, Tableau, Power BI, stakeholder management, negotiation, SEO. Achievement: cut reporting time by 40% by automating Excel reports. Career gap: None.</v>
      </c>
      <c r="G50" s="24" t="str">
        <f t="shared" si="11"/>
        <v>cut reporting time by 40% by automating Excel reports</v>
      </c>
      <c r="H50" s="24">
        <f>INDEX('Scoring Prompt'!$C$22:$C$23,MATCH(B50,'Scoring Prompt'!$A$22:$A$23,0))</f>
        <v>2</v>
      </c>
      <c r="I50" s="24">
        <f>INDEX('Scoring Prompt'!$D$22:$D$23,MATCH(B50,'Scoring Prompt'!$A$22:$A$23,0))</f>
        <v>4</v>
      </c>
      <c r="J50" s="24">
        <f>INDEX('Scoring Prompt'!$B$27:$C$34,MATCH(C50,'Scoring Prompt'!$A$27:$A$34,0),MATCH(B50,'Scoring Prompt'!$B$26:$C$26,0))</f>
        <v>12</v>
      </c>
      <c r="K50" s="24">
        <f>IF(AND(D50&gt;=H50,D50&lt;=I50),'Scoring Prompt'!$B$47,IF(D50&lt;H50,IF(H50-D50&lt;=1,'Scoring Prompt'!$B$48,IF(H50-D50&lt;=2,'Scoring Prompt'!$B$49,'Scoring Prompt'!$B$50)),IF(D50-I50&lt;=2,'Scoring Prompt'!$B$51,'Scoring Prompt'!$B$52)))</f>
        <v>12</v>
      </c>
      <c r="L50" s="24">
        <f>IF(B50="JD3",SUMPRODUCT(--ISNUMBER(SEARCH('Scoring Prompt'!$E$22:$I$22,E50))),SUMPRODUCT(--ISNUMBER(SEARCH('Scoring Prompt'!$E$23:$I$23,E50))))</f>
        <v>1</v>
      </c>
      <c r="M50" s="24">
        <f t="shared" si="12"/>
        <v>8</v>
      </c>
      <c r="N50" s="24">
        <f>INDEX('Scoring Prompt'!$B$38:$C$43,MATCH(G50,'Scoring Prompt'!$A$38:$A$43,0),MATCH(B50,'Scoring Prompt'!$B$37:$C$37,0))</f>
        <v>10</v>
      </c>
      <c r="O50" s="24">
        <f t="shared" si="13"/>
        <v>42</v>
      </c>
      <c r="P50" s="24">
        <f>'Scored Shortlist'!E50</f>
        <v>12</v>
      </c>
      <c r="Q50" s="24">
        <f>'Scored Shortlist'!F50</f>
        <v>12</v>
      </c>
      <c r="R50" s="24">
        <f>'Scored Shortlist'!G50</f>
        <v>12</v>
      </c>
      <c r="S50" s="24">
        <f>'Scored Shortlist'!H50</f>
        <v>10</v>
      </c>
      <c r="T50" s="24">
        <f>'Scored Shortlist'!I50</f>
        <v>46</v>
      </c>
      <c r="U50" s="24">
        <f>IF('Scored Shortlist'!M50="none",0,(LEN('Scored Shortlist'!M50)-LEN(SUBSTITUTE('Scored Shortlist'!M50,"&lt;-","")))/2)</f>
        <v>1</v>
      </c>
      <c r="V50" s="24">
        <f t="shared" si="14"/>
        <v>1</v>
      </c>
      <c r="W50" s="24">
        <f t="shared" si="15"/>
        <v>1</v>
      </c>
      <c r="X50" s="24">
        <f t="shared" si="16"/>
        <v>1</v>
      </c>
      <c r="Y50" s="24">
        <f t="shared" si="17"/>
        <v>4</v>
      </c>
      <c r="Z50" s="24">
        <f t="shared" si="18"/>
        <v>4</v>
      </c>
      <c r="AA50" s="24">
        <f t="shared" si="19"/>
        <v>1</v>
      </c>
      <c r="AB50" s="25" t="str">
        <f t="shared" si="20"/>
        <v>OK</v>
      </c>
      <c r="AC50" s="24" t="str">
        <f t="shared" si="21"/>
        <v>Not shortlisted</v>
      </c>
      <c r="AD50" s="24" t="str">
        <f>IF(ISNUMBER(SEARCH(" "&amp;LEFT('Scored Shortlist'!B50,FIND(" ",'Scored Shortlist'!B50)-1)&amp;" "," "&amp;'Scored Shortlist'!N50&amp;" ")),"YES","no")</f>
        <v>no</v>
      </c>
    </row>
    <row r="51" spans="1:30" x14ac:dyDescent="0.25">
      <c r="A51" s="24" t="str">
        <f>'Scored Shortlist'!A51</f>
        <v>CV069</v>
      </c>
      <c r="B51" s="24" t="str">
        <f>'Scored Shortlist'!C51</f>
        <v>JD3</v>
      </c>
      <c r="C51" s="24" t="str">
        <f>INDEX(Resumes!$D$2:$D$101,MATCH(A51,Resumes!$A$2:$A$101,0))</f>
        <v>MBA Operations</v>
      </c>
      <c r="D51" s="24">
        <f>INDEX(Resumes!$E$2:$E$101,MATCH(A51,Resumes!$A$2:$A$101,0))</f>
        <v>1.5</v>
      </c>
      <c r="E51" s="24" t="str">
        <f>INDEX(Resumes!$G$2:$G$101,MATCH(A51,Resumes!$A$2:$A$101,0))</f>
        <v>UPI/payments, negotiation, recruitment, demand forecasting, labour law, valuation, A/B testing, financial modelling</v>
      </c>
      <c r="F51" s="24" t="str">
        <f>INDEX(Resumes!$I$2:$I$101,MATCH(A51,Resumes!$A$2:$A$101,0))</f>
        <v>Suresh Nair, MBA Operations from a tier-3 institute. 1.5 years of experience, most recently at a retail chain. Key skills: UPI/payments, negotiation, recruitment, demand forecasting, labour law, valuation, A/B testing, financial modelling. Achievement: led a 5-member campus marketing team. Career gap: 6-month gap (exam preparation).</v>
      </c>
      <c r="G51" s="24" t="str">
        <f t="shared" si="11"/>
        <v>led a 5-member campus marketing team</v>
      </c>
      <c r="H51" s="24">
        <f>INDEX('Scoring Prompt'!$C$22:$C$23,MATCH(B51,'Scoring Prompt'!$A$22:$A$23,0))</f>
        <v>2</v>
      </c>
      <c r="I51" s="24">
        <f>INDEX('Scoring Prompt'!$D$22:$D$23,MATCH(B51,'Scoring Prompt'!$A$22:$A$23,0))</f>
        <v>4</v>
      </c>
      <c r="J51" s="24">
        <f>INDEX('Scoring Prompt'!$B$27:$C$34,MATCH(C51,'Scoring Prompt'!$A$27:$A$34,0),MATCH(B51,'Scoring Prompt'!$B$26:$C$26,0))</f>
        <v>12</v>
      </c>
      <c r="K51" s="24">
        <f>IF(AND(D51&gt;=H51,D51&lt;=I51),'Scoring Prompt'!$B$47,IF(D51&lt;H51,IF(H51-D51&lt;=1,'Scoring Prompt'!$B$48,IF(H51-D51&lt;=2,'Scoring Prompt'!$B$49,'Scoring Prompt'!$B$50)),IF(D51-I51&lt;=2,'Scoring Prompt'!$B$51,'Scoring Prompt'!$B$52)))</f>
        <v>15</v>
      </c>
      <c r="L51" s="24">
        <f>IF(B51="JD3",SUMPRODUCT(--ISNUMBER(SEARCH('Scoring Prompt'!$E$22:$I$22,E51))),SUMPRODUCT(--ISNUMBER(SEARCH('Scoring Prompt'!$E$23:$I$23,E51))))</f>
        <v>2</v>
      </c>
      <c r="M51" s="24">
        <f t="shared" si="12"/>
        <v>16</v>
      </c>
      <c r="N51" s="24">
        <f>INDEX('Scoring Prompt'!$B$38:$C$43,MATCH(G51,'Scoring Prompt'!$A$38:$A$43,0),MATCH(B51,'Scoring Prompt'!$B$37:$C$37,0))</f>
        <v>3</v>
      </c>
      <c r="O51" s="24">
        <f t="shared" si="13"/>
        <v>46</v>
      </c>
      <c r="P51" s="24">
        <f>'Scored Shortlist'!E51</f>
        <v>12</v>
      </c>
      <c r="Q51" s="24">
        <f>'Scored Shortlist'!F51</f>
        <v>15</v>
      </c>
      <c r="R51" s="24">
        <f>'Scored Shortlist'!G51</f>
        <v>16</v>
      </c>
      <c r="S51" s="24">
        <f>'Scored Shortlist'!H51</f>
        <v>3</v>
      </c>
      <c r="T51" s="24">
        <f>'Scored Shortlist'!I51</f>
        <v>46</v>
      </c>
      <c r="U51" s="24">
        <f>IF('Scored Shortlist'!M51="none",0,(LEN('Scored Shortlist'!M51)-LEN(SUBSTITUTE('Scored Shortlist'!M51,"&lt;-","")))/2)</f>
        <v>0</v>
      </c>
      <c r="V51" s="24">
        <f t="shared" si="14"/>
        <v>1</v>
      </c>
      <c r="W51" s="24">
        <f t="shared" si="15"/>
        <v>1</v>
      </c>
      <c r="X51" s="24">
        <f t="shared" si="16"/>
        <v>1</v>
      </c>
      <c r="Y51" s="24">
        <f t="shared" si="17"/>
        <v>0</v>
      </c>
      <c r="Z51" s="24">
        <f t="shared" si="18"/>
        <v>0</v>
      </c>
      <c r="AA51" s="24">
        <f t="shared" si="19"/>
        <v>1</v>
      </c>
      <c r="AB51" s="25" t="str">
        <f t="shared" si="20"/>
        <v>OK</v>
      </c>
      <c r="AC51" s="24" t="str">
        <f t="shared" si="21"/>
        <v>Not shortlisted</v>
      </c>
      <c r="AD51" s="24" t="str">
        <f>IF(ISNUMBER(SEARCH(" "&amp;LEFT('Scored Shortlist'!B51,FIND(" ",'Scored Shortlist'!B51)-1)&amp;" "," "&amp;'Scored Shortlist'!N51&amp;" ")),"YES","no")</f>
        <v>no</v>
      </c>
    </row>
    <row r="52" spans="1:30" x14ac:dyDescent="0.25">
      <c r="A52" s="24" t="str">
        <f>'Scored Shortlist'!A52</f>
        <v>CV007</v>
      </c>
      <c r="B52" s="24" t="str">
        <f>'Scored Shortlist'!C52</f>
        <v>JD3</v>
      </c>
      <c r="C52" s="24" t="str">
        <f>INDEX(Resumes!$D$2:$D$101,MATCH(A52,Resumes!$A$2:$A$101,0))</f>
        <v>MBA Finance</v>
      </c>
      <c r="D52" s="24">
        <f>INDEX(Resumes!$E$2:$E$101,MATCH(A52,Resumes!$A$2:$A$101,0))</f>
        <v>6.9</v>
      </c>
      <c r="E52" s="24" t="str">
        <f>INDEX(Resumes!$G$2:$G$101,MATCH(A52,Resumes!$A$2:$A$101,0))</f>
        <v>recruitment, A/B testing, employee relations, valuation</v>
      </c>
      <c r="F52" s="24" t="str">
        <f>INDEX(Resumes!$I$2:$I$101,MATCH(A52,Resumes!$A$2:$A$101,0))</f>
        <v>Gauri Agarwal, MBA Finance from a tier-2 institute. 6.9 years of experience, most recently at a retail chain. Key skills: recruitment, A/B testing, employee relations, valuation. Achievement: no major achievement listed. Career gap: 6-month gap (exam preparation).</v>
      </c>
      <c r="G52" s="24" t="str">
        <f t="shared" si="11"/>
        <v>no major achievement listed</v>
      </c>
      <c r="H52" s="24">
        <f>INDEX('Scoring Prompt'!$C$22:$C$23,MATCH(B52,'Scoring Prompt'!$A$22:$A$23,0))</f>
        <v>2</v>
      </c>
      <c r="I52" s="24">
        <f>INDEX('Scoring Prompt'!$D$22:$D$23,MATCH(B52,'Scoring Prompt'!$A$22:$A$23,0))</f>
        <v>4</v>
      </c>
      <c r="J52" s="24">
        <f>INDEX('Scoring Prompt'!$B$27:$C$34,MATCH(C52,'Scoring Prompt'!$A$27:$A$34,0),MATCH(B52,'Scoring Prompt'!$B$26:$C$26,0))</f>
        <v>25</v>
      </c>
      <c r="K52" s="24">
        <f>IF(AND(D52&gt;=H52,D52&lt;=I52),'Scoring Prompt'!$B$47,IF(D52&lt;H52,IF(H52-D52&lt;=1,'Scoring Prompt'!$B$48,IF(H52-D52&lt;=2,'Scoring Prompt'!$B$49,'Scoring Prompt'!$B$50)),IF(D52-I52&lt;=2,'Scoring Prompt'!$B$51,'Scoring Prompt'!$B$52)))</f>
        <v>12</v>
      </c>
      <c r="L52" s="24">
        <f>IF(B52="JD3",SUMPRODUCT(--ISNUMBER(SEARCH('Scoring Prompt'!$E$22:$I$22,E52))),SUMPRODUCT(--ISNUMBER(SEARCH('Scoring Prompt'!$E$23:$I$23,E52))))</f>
        <v>1</v>
      </c>
      <c r="M52" s="24">
        <f t="shared" si="12"/>
        <v>8</v>
      </c>
      <c r="N52" s="24">
        <f>INDEX('Scoring Prompt'!$B$38:$C$43,MATCH(G52,'Scoring Prompt'!$A$38:$A$43,0),MATCH(B52,'Scoring Prompt'!$B$37:$C$37,0))</f>
        <v>0</v>
      </c>
      <c r="O52" s="24">
        <f t="shared" si="13"/>
        <v>45</v>
      </c>
      <c r="P52" s="24">
        <f>'Scored Shortlist'!E52</f>
        <v>25</v>
      </c>
      <c r="Q52" s="24">
        <f>'Scored Shortlist'!F52</f>
        <v>12</v>
      </c>
      <c r="R52" s="24">
        <f>'Scored Shortlist'!G52</f>
        <v>8</v>
      </c>
      <c r="S52" s="24">
        <f>'Scored Shortlist'!H52</f>
        <v>0</v>
      </c>
      <c r="T52" s="24">
        <f>'Scored Shortlist'!I52</f>
        <v>45</v>
      </c>
      <c r="U52" s="24">
        <f>IF('Scored Shortlist'!M52="none",0,(LEN('Scored Shortlist'!M52)-LEN(SUBSTITUTE('Scored Shortlist'!M52,"&lt;-","")))/2)</f>
        <v>0</v>
      </c>
      <c r="V52" s="24">
        <f t="shared" si="14"/>
        <v>1</v>
      </c>
      <c r="W52" s="24">
        <f t="shared" si="15"/>
        <v>1</v>
      </c>
      <c r="X52" s="24">
        <f t="shared" si="16"/>
        <v>1</v>
      </c>
      <c r="Y52" s="24">
        <f t="shared" si="17"/>
        <v>0</v>
      </c>
      <c r="Z52" s="24">
        <f t="shared" si="18"/>
        <v>0</v>
      </c>
      <c r="AA52" s="24">
        <f t="shared" si="19"/>
        <v>1</v>
      </c>
      <c r="AB52" s="25" t="str">
        <f t="shared" si="20"/>
        <v>OK</v>
      </c>
      <c r="AC52" s="24" t="str">
        <f t="shared" si="21"/>
        <v>Not shortlisted</v>
      </c>
      <c r="AD52" s="24" t="str">
        <f>IF(ISNUMBER(SEARCH(" "&amp;LEFT('Scored Shortlist'!B52,FIND(" ",'Scored Shortlist'!B52)-1)&amp;" "," "&amp;'Scored Shortlist'!N52&amp;" ")),"YES","no")</f>
        <v>no</v>
      </c>
    </row>
    <row r="53" spans="1:30" x14ac:dyDescent="0.25">
      <c r="A53" s="24" t="str">
        <f>'Scored Shortlist'!A53</f>
        <v>CV053</v>
      </c>
      <c r="B53" s="24" t="str">
        <f>'Scored Shortlist'!C53</f>
        <v>JD3</v>
      </c>
      <c r="C53" s="24" t="str">
        <f>INDEX(Resumes!$D$2:$D$101,MATCH(A53,Resumes!$A$2:$A$101,0))</f>
        <v>CA</v>
      </c>
      <c r="D53" s="24">
        <f>INDEX(Resumes!$E$2:$E$101,MATCH(A53,Resumes!$A$2:$A$101,0))</f>
        <v>5.4</v>
      </c>
      <c r="E53" s="24" t="str">
        <f>INDEX(Resumes!$G$2:$G$101,MATCH(A53,Resumes!$A$2:$A$101,0))</f>
        <v>campaign management, demand forecasting, vendor management, product roadmap, UPI/payments, HR analytics</v>
      </c>
      <c r="F53" s="24" t="str">
        <f>INDEX(Resumes!$I$2:$I$101,MATCH(A53,Resumes!$A$2:$A$101,0))</f>
        <v>Rajesh Shinde, CA from a tier-1 institute. 5.4 years of experience, most recently at a manufacturing company. Key skills: campaign management, demand forecasting, vendor management, product roadmap, UPI/payments, HR analytics. Achievement: no major achievement listed. Career gap: None.</v>
      </c>
      <c r="G53" s="24" t="str">
        <f t="shared" si="11"/>
        <v>no major achievement listed</v>
      </c>
      <c r="H53" s="24">
        <f>INDEX('Scoring Prompt'!$C$22:$C$23,MATCH(B53,'Scoring Prompt'!$A$22:$A$23,0))</f>
        <v>2</v>
      </c>
      <c r="I53" s="24">
        <f>INDEX('Scoring Prompt'!$D$22:$D$23,MATCH(B53,'Scoring Prompt'!$A$22:$A$23,0))</f>
        <v>4</v>
      </c>
      <c r="J53" s="24">
        <f>INDEX('Scoring Prompt'!$B$27:$C$34,MATCH(C53,'Scoring Prompt'!$A$27:$A$34,0),MATCH(B53,'Scoring Prompt'!$B$26:$C$26,0))</f>
        <v>25</v>
      </c>
      <c r="K53" s="24">
        <f>IF(AND(D53&gt;=H53,D53&lt;=I53),'Scoring Prompt'!$B$47,IF(D53&lt;H53,IF(H53-D53&lt;=1,'Scoring Prompt'!$B$48,IF(H53-D53&lt;=2,'Scoring Prompt'!$B$49,'Scoring Prompt'!$B$50)),IF(D53-I53&lt;=2,'Scoring Prompt'!$B$51,'Scoring Prompt'!$B$52)))</f>
        <v>20</v>
      </c>
      <c r="L53" s="24">
        <f>IF(B53="JD3",SUMPRODUCT(--ISNUMBER(SEARCH('Scoring Prompt'!$E$22:$I$22,E53))),SUMPRODUCT(--ISNUMBER(SEARCH('Scoring Prompt'!$E$23:$I$23,E53))))</f>
        <v>0</v>
      </c>
      <c r="M53" s="24">
        <f t="shared" si="12"/>
        <v>0</v>
      </c>
      <c r="N53" s="24">
        <f>INDEX('Scoring Prompt'!$B$38:$C$43,MATCH(G53,'Scoring Prompt'!$A$38:$A$43,0),MATCH(B53,'Scoring Prompt'!$B$37:$C$37,0))</f>
        <v>0</v>
      </c>
      <c r="O53" s="24">
        <f t="shared" si="13"/>
        <v>45</v>
      </c>
      <c r="P53" s="24">
        <f>'Scored Shortlist'!E53</f>
        <v>25</v>
      </c>
      <c r="Q53" s="24">
        <f>'Scored Shortlist'!F53</f>
        <v>20</v>
      </c>
      <c r="R53" s="24">
        <f>'Scored Shortlist'!G53</f>
        <v>0</v>
      </c>
      <c r="S53" s="24">
        <f>'Scored Shortlist'!H53</f>
        <v>0</v>
      </c>
      <c r="T53" s="24">
        <f>'Scored Shortlist'!I53</f>
        <v>45</v>
      </c>
      <c r="U53" s="24">
        <f>IF('Scored Shortlist'!M53="none",0,(LEN('Scored Shortlist'!M53)-LEN(SUBSTITUTE('Scored Shortlist'!M53,"&lt;-","")))/2)</f>
        <v>0</v>
      </c>
      <c r="V53" s="24">
        <f t="shared" si="14"/>
        <v>1</v>
      </c>
      <c r="W53" s="24">
        <f t="shared" si="15"/>
        <v>1</v>
      </c>
      <c r="X53" s="24">
        <f t="shared" si="16"/>
        <v>1</v>
      </c>
      <c r="Y53" s="24">
        <f t="shared" si="17"/>
        <v>0</v>
      </c>
      <c r="Z53" s="24">
        <f t="shared" si="18"/>
        <v>0</v>
      </c>
      <c r="AA53" s="24">
        <f t="shared" si="19"/>
        <v>1</v>
      </c>
      <c r="AB53" s="25" t="str">
        <f t="shared" si="20"/>
        <v>OK</v>
      </c>
      <c r="AC53" s="24" t="str">
        <f t="shared" si="21"/>
        <v>Not shortlisted</v>
      </c>
      <c r="AD53" s="24" t="str">
        <f>IF(ISNUMBER(SEARCH(" "&amp;LEFT('Scored Shortlist'!B53,FIND(" ",'Scored Shortlist'!B53)-1)&amp;" "," "&amp;'Scored Shortlist'!N53&amp;" ")),"YES","no")</f>
        <v>no</v>
      </c>
    </row>
    <row r="54" spans="1:30" x14ac:dyDescent="0.25">
      <c r="A54" s="24" t="str">
        <f>'Scored Shortlist'!A54</f>
        <v>CV008</v>
      </c>
      <c r="B54" s="24" t="str">
        <f>'Scored Shortlist'!C54</f>
        <v>JD3</v>
      </c>
      <c r="C54" s="24" t="str">
        <f>INDEX(Resumes!$D$2:$D$101,MATCH(A54,Resumes!$A$2:$A$101,0))</f>
        <v>MBA HR</v>
      </c>
      <c r="D54" s="24">
        <f>INDEX(Resumes!$E$2:$E$101,MATCH(A54,Resumes!$A$2:$A$101,0))</f>
        <v>3.2</v>
      </c>
      <c r="E54" s="24" t="str">
        <f>INDEX(Resumes!$G$2:$G$101,MATCH(A54,Resumes!$A$2:$A$101,0))</f>
        <v>Tableau, stakeholder management, HR analytics, SAP MM, agile, recruitment, public speaking, Python</v>
      </c>
      <c r="F54" s="24" t="str">
        <f>INDEX(Resumes!$I$2:$I$101,MATCH(A54,Resumes!$A$2:$A$101,0))</f>
        <v>Simran Mehta, MBA HR from a tier-3 institute. 3.2 years of experience, most recently at a fintech start-up. Key skills: Tableau, stakeholder management, HR analytics, SAP MM, agile, recruitment, public speaking, Python. Achievement: handled 120 hires in one year. Career gap: None.</v>
      </c>
      <c r="G54" s="24" t="str">
        <f t="shared" si="11"/>
        <v>handled 120 hires in one year</v>
      </c>
      <c r="H54" s="24">
        <f>INDEX('Scoring Prompt'!$C$22:$C$23,MATCH(B54,'Scoring Prompt'!$A$22:$A$23,0))</f>
        <v>2</v>
      </c>
      <c r="I54" s="24">
        <f>INDEX('Scoring Prompt'!$D$22:$D$23,MATCH(B54,'Scoring Prompt'!$A$22:$A$23,0))</f>
        <v>4</v>
      </c>
      <c r="J54" s="24">
        <f>INDEX('Scoring Prompt'!$B$27:$C$34,MATCH(C54,'Scoring Prompt'!$A$27:$A$34,0),MATCH(B54,'Scoring Prompt'!$B$26:$C$26,0))</f>
        <v>12</v>
      </c>
      <c r="K54" s="24">
        <f>IF(AND(D54&gt;=H54,D54&lt;=I54),'Scoring Prompt'!$B$47,IF(D54&lt;H54,IF(H54-D54&lt;=1,'Scoring Prompt'!$B$48,IF(H54-D54&lt;=2,'Scoring Prompt'!$B$49,'Scoring Prompt'!$B$50)),IF(D54-I54&lt;=2,'Scoring Prompt'!$B$51,'Scoring Prompt'!$B$52)))</f>
        <v>25</v>
      </c>
      <c r="L54" s="24">
        <f>IF(B54="JD3",SUMPRODUCT(--ISNUMBER(SEARCH('Scoring Prompt'!$E$22:$I$22,E54))),SUMPRODUCT(--ISNUMBER(SEARCH('Scoring Prompt'!$E$23:$I$23,E54))))</f>
        <v>0</v>
      </c>
      <c r="M54" s="24">
        <f t="shared" si="12"/>
        <v>0</v>
      </c>
      <c r="N54" s="24">
        <f>INDEX('Scoring Prompt'!$B$38:$C$43,MATCH(G54,'Scoring Prompt'!$A$38:$A$43,0),MATCH(B54,'Scoring Prompt'!$B$37:$C$37,0))</f>
        <v>3</v>
      </c>
      <c r="O54" s="24">
        <f t="shared" si="13"/>
        <v>40</v>
      </c>
      <c r="P54" s="24">
        <f>'Scored Shortlist'!E54</f>
        <v>12</v>
      </c>
      <c r="Q54" s="24">
        <f>'Scored Shortlist'!F54</f>
        <v>25</v>
      </c>
      <c r="R54" s="24">
        <f>'Scored Shortlist'!G54</f>
        <v>4</v>
      </c>
      <c r="S54" s="24">
        <f>'Scored Shortlist'!H54</f>
        <v>3</v>
      </c>
      <c r="T54" s="24">
        <f>'Scored Shortlist'!I54</f>
        <v>44</v>
      </c>
      <c r="U54" s="24">
        <f>IF('Scored Shortlist'!M54="none",0,(LEN('Scored Shortlist'!M54)-LEN(SUBSTITUTE('Scored Shortlist'!M54,"&lt;-","")))/2)</f>
        <v>1</v>
      </c>
      <c r="V54" s="24">
        <f t="shared" si="14"/>
        <v>1</v>
      </c>
      <c r="W54" s="24">
        <f t="shared" si="15"/>
        <v>1</v>
      </c>
      <c r="X54" s="24">
        <f t="shared" si="16"/>
        <v>1</v>
      </c>
      <c r="Y54" s="24">
        <f t="shared" si="17"/>
        <v>4</v>
      </c>
      <c r="Z54" s="24">
        <f t="shared" si="18"/>
        <v>4</v>
      </c>
      <c r="AA54" s="24">
        <f t="shared" si="19"/>
        <v>1</v>
      </c>
      <c r="AB54" s="25" t="str">
        <f t="shared" si="20"/>
        <v>OK</v>
      </c>
      <c r="AC54" s="24" t="str">
        <f t="shared" si="21"/>
        <v>Not shortlisted</v>
      </c>
      <c r="AD54" s="24" t="str">
        <f>IF(ISNUMBER(SEARCH(" "&amp;LEFT('Scored Shortlist'!B54,FIND(" ",'Scored Shortlist'!B54)-1)&amp;" "," "&amp;'Scored Shortlist'!N54&amp;" ")),"YES","no")</f>
        <v>no</v>
      </c>
    </row>
    <row r="55" spans="1:30" x14ac:dyDescent="0.25">
      <c r="A55" s="24" t="str">
        <f>'Scored Shortlist'!A55</f>
        <v>CV021</v>
      </c>
      <c r="B55" s="24" t="str">
        <f>'Scored Shortlist'!C55</f>
        <v>JD3</v>
      </c>
      <c r="C55" s="24" t="str">
        <f>INDEX(Resumes!$D$2:$D$101,MATCH(A55,Resumes!$A$2:$A$101,0))</f>
        <v>MBA Finance</v>
      </c>
      <c r="D55" s="24">
        <f>INDEX(Resumes!$E$2:$E$101,MATCH(A55,Resumes!$A$2:$A$101,0))</f>
        <v>0.7</v>
      </c>
      <c r="E55" s="24" t="str">
        <f>INDEX(Resumes!$G$2:$G$101,MATCH(A55,Resumes!$A$2:$A$101,0))</f>
        <v>Power BI, negotiation, vendor management, Python, inventory planning</v>
      </c>
      <c r="F55" s="24" t="str">
        <f>INDEX(Resumes!$I$2:$I$101,MATCH(A55,Resumes!$A$2:$A$101,0))</f>
        <v>Meera Shinde, MBA Finance from a tier-1 institute. 0.7 years of experience, most recently at a consulting firm. Key skills: Power BI, negotiation, vendor management, Python, inventory planning. Achievement: handled 120 hires in one year. Career gap: None.</v>
      </c>
      <c r="G55" s="24" t="str">
        <f t="shared" si="11"/>
        <v>handled 120 hires in one year</v>
      </c>
      <c r="H55" s="24">
        <f>INDEX('Scoring Prompt'!$C$22:$C$23,MATCH(B55,'Scoring Prompt'!$A$22:$A$23,0))</f>
        <v>2</v>
      </c>
      <c r="I55" s="24">
        <f>INDEX('Scoring Prompt'!$D$22:$D$23,MATCH(B55,'Scoring Prompt'!$A$22:$A$23,0))</f>
        <v>4</v>
      </c>
      <c r="J55" s="24">
        <f>INDEX('Scoring Prompt'!$B$27:$C$34,MATCH(C55,'Scoring Prompt'!$A$27:$A$34,0),MATCH(B55,'Scoring Prompt'!$B$26:$C$26,0))</f>
        <v>25</v>
      </c>
      <c r="K55" s="24">
        <f>IF(AND(D55&gt;=H55,D55&lt;=I55),'Scoring Prompt'!$B$47,IF(D55&lt;H55,IF(H55-D55&lt;=1,'Scoring Prompt'!$B$48,IF(H55-D55&lt;=2,'Scoring Prompt'!$B$49,'Scoring Prompt'!$B$50)),IF(D55-I55&lt;=2,'Scoring Prompt'!$B$51,'Scoring Prompt'!$B$52)))</f>
        <v>8</v>
      </c>
      <c r="L55" s="24">
        <f>IF(B55="JD3",SUMPRODUCT(--ISNUMBER(SEARCH('Scoring Prompt'!$E$22:$I$22,E55))),SUMPRODUCT(--ISNUMBER(SEARCH('Scoring Prompt'!$E$23:$I$23,E55))))</f>
        <v>1</v>
      </c>
      <c r="M55" s="24">
        <f t="shared" si="12"/>
        <v>8</v>
      </c>
      <c r="N55" s="24">
        <f>INDEX('Scoring Prompt'!$B$38:$C$43,MATCH(G55,'Scoring Prompt'!$A$38:$A$43,0),MATCH(B55,'Scoring Prompt'!$B$37:$C$37,0))</f>
        <v>3</v>
      </c>
      <c r="O55" s="24">
        <f t="shared" si="13"/>
        <v>44</v>
      </c>
      <c r="P55" s="24">
        <f>'Scored Shortlist'!E55</f>
        <v>25</v>
      </c>
      <c r="Q55" s="24">
        <f>'Scored Shortlist'!F55</f>
        <v>8</v>
      </c>
      <c r="R55" s="24">
        <f>'Scored Shortlist'!G55</f>
        <v>8</v>
      </c>
      <c r="S55" s="24">
        <f>'Scored Shortlist'!H55</f>
        <v>3</v>
      </c>
      <c r="T55" s="24">
        <f>'Scored Shortlist'!I55</f>
        <v>44</v>
      </c>
      <c r="U55" s="24">
        <f>IF('Scored Shortlist'!M55="none",0,(LEN('Scored Shortlist'!M55)-LEN(SUBSTITUTE('Scored Shortlist'!M55,"&lt;-","")))/2)</f>
        <v>0</v>
      </c>
      <c r="V55" s="24">
        <f t="shared" si="14"/>
        <v>1</v>
      </c>
      <c r="W55" s="24">
        <f t="shared" si="15"/>
        <v>1</v>
      </c>
      <c r="X55" s="24">
        <f t="shared" si="16"/>
        <v>1</v>
      </c>
      <c r="Y55" s="24">
        <f t="shared" si="17"/>
        <v>0</v>
      </c>
      <c r="Z55" s="24">
        <f t="shared" si="18"/>
        <v>0</v>
      </c>
      <c r="AA55" s="24">
        <f t="shared" si="19"/>
        <v>1</v>
      </c>
      <c r="AB55" s="25" t="str">
        <f t="shared" si="20"/>
        <v>OK</v>
      </c>
      <c r="AC55" s="24" t="str">
        <f t="shared" si="21"/>
        <v>Not shortlisted</v>
      </c>
      <c r="AD55" s="24" t="str">
        <f>IF(ISNUMBER(SEARCH(" "&amp;LEFT('Scored Shortlist'!B55,FIND(" ",'Scored Shortlist'!B55)-1)&amp;" "," "&amp;'Scored Shortlist'!N55&amp;" ")),"YES","no")</f>
        <v>no</v>
      </c>
    </row>
    <row r="56" spans="1:30" x14ac:dyDescent="0.25">
      <c r="A56" s="24" t="str">
        <f>'Scored Shortlist'!A56</f>
        <v>CV085</v>
      </c>
      <c r="B56" s="24" t="str">
        <f>'Scored Shortlist'!C56</f>
        <v>JD3</v>
      </c>
      <c r="C56" s="24" t="str">
        <f>INDEX(Resumes!$D$2:$D$101,MATCH(A56,Resumes!$A$2:$A$101,0))</f>
        <v>MBA HR</v>
      </c>
      <c r="D56" s="24">
        <f>INDEX(Resumes!$E$2:$E$101,MATCH(A56,Resumes!$A$2:$A$101,0))</f>
        <v>8.6999999999999993</v>
      </c>
      <c r="E56" s="24" t="str">
        <f>INDEX(Resumes!$G$2:$G$101,MATCH(A56,Resumes!$A$2:$A$101,0))</f>
        <v>Tableau, A/B testing, valuation, Excel, Python, HR analytics, public speaking, employee relations</v>
      </c>
      <c r="F56" s="24" t="str">
        <f>INDEX(Resumes!$I$2:$I$101,MATCH(A56,Resumes!$A$2:$A$101,0))</f>
        <v>Swati Shah, MBA HR from a tier-1 institute. 8.7 years of experience, most recently at a fintech start-up. Key skills: Tableau, A/B testing, valuation, Excel, Python, HR analytics, public speaking, employee relations. Achievement: no major achievement listed. Career gap: 1-year career break (family).</v>
      </c>
      <c r="G56" s="24" t="str">
        <f t="shared" si="11"/>
        <v>no major achievement listed</v>
      </c>
      <c r="H56" s="24">
        <f>INDEX('Scoring Prompt'!$C$22:$C$23,MATCH(B56,'Scoring Prompt'!$A$22:$A$23,0))</f>
        <v>2</v>
      </c>
      <c r="I56" s="24">
        <f>INDEX('Scoring Prompt'!$D$22:$D$23,MATCH(B56,'Scoring Prompt'!$A$22:$A$23,0))</f>
        <v>4</v>
      </c>
      <c r="J56" s="24">
        <f>INDEX('Scoring Prompt'!$B$27:$C$34,MATCH(C56,'Scoring Prompt'!$A$27:$A$34,0),MATCH(B56,'Scoring Prompt'!$B$26:$C$26,0))</f>
        <v>12</v>
      </c>
      <c r="K56" s="24">
        <f>IF(AND(D56&gt;=H56,D56&lt;=I56),'Scoring Prompt'!$B$47,IF(D56&lt;H56,IF(H56-D56&lt;=1,'Scoring Prompt'!$B$48,IF(H56-D56&lt;=2,'Scoring Prompt'!$B$49,'Scoring Prompt'!$B$50)),IF(D56-I56&lt;=2,'Scoring Prompt'!$B$51,'Scoring Prompt'!$B$52)))</f>
        <v>12</v>
      </c>
      <c r="L56" s="24">
        <f>IF(B56="JD3",SUMPRODUCT(--ISNUMBER(SEARCH('Scoring Prompt'!$E$22:$I$22,E56))),SUMPRODUCT(--ISNUMBER(SEARCH('Scoring Prompt'!$E$23:$I$23,E56))))</f>
        <v>2</v>
      </c>
      <c r="M56" s="24">
        <f t="shared" si="12"/>
        <v>16</v>
      </c>
      <c r="N56" s="24">
        <f>INDEX('Scoring Prompt'!$B$38:$C$43,MATCH(G56,'Scoring Prompt'!$A$38:$A$43,0),MATCH(B56,'Scoring Prompt'!$B$37:$C$37,0))</f>
        <v>0</v>
      </c>
      <c r="O56" s="24">
        <f t="shared" si="13"/>
        <v>40</v>
      </c>
      <c r="P56" s="24">
        <f>'Scored Shortlist'!E56</f>
        <v>12</v>
      </c>
      <c r="Q56" s="24">
        <f>'Scored Shortlist'!F56</f>
        <v>12</v>
      </c>
      <c r="R56" s="24">
        <f>'Scored Shortlist'!G56</f>
        <v>20</v>
      </c>
      <c r="S56" s="24">
        <f>'Scored Shortlist'!H56</f>
        <v>0</v>
      </c>
      <c r="T56" s="24">
        <f>'Scored Shortlist'!I56</f>
        <v>44</v>
      </c>
      <c r="U56" s="24">
        <f>IF('Scored Shortlist'!M56="none",0,(LEN('Scored Shortlist'!M56)-LEN(SUBSTITUTE('Scored Shortlist'!M56,"&lt;-","")))/2)</f>
        <v>1</v>
      </c>
      <c r="V56" s="24">
        <f t="shared" si="14"/>
        <v>1</v>
      </c>
      <c r="W56" s="24">
        <f t="shared" si="15"/>
        <v>1</v>
      </c>
      <c r="X56" s="24">
        <f t="shared" si="16"/>
        <v>1</v>
      </c>
      <c r="Y56" s="24">
        <f t="shared" si="17"/>
        <v>4</v>
      </c>
      <c r="Z56" s="24">
        <f t="shared" si="18"/>
        <v>4</v>
      </c>
      <c r="AA56" s="24">
        <f t="shared" si="19"/>
        <v>1</v>
      </c>
      <c r="AB56" s="25" t="str">
        <f t="shared" si="20"/>
        <v>OK</v>
      </c>
      <c r="AC56" s="24" t="str">
        <f t="shared" si="21"/>
        <v>Not shortlisted</v>
      </c>
      <c r="AD56" s="24" t="str">
        <f>IF(ISNUMBER(SEARCH(" "&amp;LEFT('Scored Shortlist'!B56,FIND(" ",'Scored Shortlist'!B56)-1)&amp;" "," "&amp;'Scored Shortlist'!N56&amp;" ")),"YES","no")</f>
        <v>no</v>
      </c>
    </row>
    <row r="57" spans="1:30" x14ac:dyDescent="0.25">
      <c r="A57" s="24" t="str">
        <f>'Scored Shortlist'!A57</f>
        <v>CV013</v>
      </c>
      <c r="B57" s="24" t="str">
        <f>'Scored Shortlist'!C57</f>
        <v>JD3</v>
      </c>
      <c r="C57" s="24" t="str">
        <f>INDEX(Resumes!$D$2:$D$101,MATCH(A57,Resumes!$A$2:$A$101,0))</f>
        <v>BBA</v>
      </c>
      <c r="D57" s="24">
        <f>INDEX(Resumes!$E$2:$E$101,MATCH(A57,Resumes!$A$2:$A$101,0))</f>
        <v>2.8</v>
      </c>
      <c r="E57" s="24" t="str">
        <f>INDEX(Resumes!$G$2:$G$101,MATCH(A57,Resumes!$A$2:$A$101,0))</f>
        <v>valuation, demand forecasting, SEO, agile</v>
      </c>
      <c r="F57" s="24" t="str">
        <f>INDEX(Resumes!$I$2:$I$101,MATCH(A57,Resumes!$A$2:$A$101,0))</f>
        <v>Omkar Jadhav, BBA from a tier-2 institute. 2.8 years of experience, most recently at a consulting firm. Key skills: valuation, demand forecasting, SEO, agile. Achievement: improved vendor on-time delivery from 78% to 92%. Career gap: None.</v>
      </c>
      <c r="G57" s="24" t="str">
        <f t="shared" si="11"/>
        <v>improved vendor on-time delivery from 78% to 92%</v>
      </c>
      <c r="H57" s="24">
        <f>INDEX('Scoring Prompt'!$C$22:$C$23,MATCH(B57,'Scoring Prompt'!$A$22:$A$23,0))</f>
        <v>2</v>
      </c>
      <c r="I57" s="24">
        <f>INDEX('Scoring Prompt'!$D$22:$D$23,MATCH(B57,'Scoring Prompt'!$A$22:$A$23,0))</f>
        <v>4</v>
      </c>
      <c r="J57" s="24">
        <f>INDEX('Scoring Prompt'!$B$27:$C$34,MATCH(C57,'Scoring Prompt'!$A$27:$A$34,0),MATCH(B57,'Scoring Prompt'!$B$26:$C$26,0))</f>
        <v>6</v>
      </c>
      <c r="K57" s="24">
        <f>IF(AND(D57&gt;=H57,D57&lt;=I57),'Scoring Prompt'!$B$47,IF(D57&lt;H57,IF(H57-D57&lt;=1,'Scoring Prompt'!$B$48,IF(H57-D57&lt;=2,'Scoring Prompt'!$B$49,'Scoring Prompt'!$B$50)),IF(D57-I57&lt;=2,'Scoring Prompt'!$B$51,'Scoring Prompt'!$B$52)))</f>
        <v>25</v>
      </c>
      <c r="L57" s="24">
        <f>IF(B57="JD3",SUMPRODUCT(--ISNUMBER(SEARCH('Scoring Prompt'!$E$22:$I$22,E57))),SUMPRODUCT(--ISNUMBER(SEARCH('Scoring Prompt'!$E$23:$I$23,E57))))</f>
        <v>1</v>
      </c>
      <c r="M57" s="24">
        <f t="shared" si="12"/>
        <v>8</v>
      </c>
      <c r="N57" s="24">
        <f>INDEX('Scoring Prompt'!$B$38:$C$43,MATCH(G57,'Scoring Prompt'!$A$38:$A$43,0),MATCH(B57,'Scoring Prompt'!$B$37:$C$37,0))</f>
        <v>4</v>
      </c>
      <c r="O57" s="24">
        <f t="shared" si="13"/>
        <v>43</v>
      </c>
      <c r="P57" s="24">
        <f>'Scored Shortlist'!E57</f>
        <v>6</v>
      </c>
      <c r="Q57" s="24">
        <f>'Scored Shortlist'!F57</f>
        <v>25</v>
      </c>
      <c r="R57" s="24">
        <f>'Scored Shortlist'!G57</f>
        <v>8</v>
      </c>
      <c r="S57" s="24">
        <f>'Scored Shortlist'!H57</f>
        <v>4</v>
      </c>
      <c r="T57" s="24">
        <f>'Scored Shortlist'!I57</f>
        <v>43</v>
      </c>
      <c r="U57" s="24">
        <f>IF('Scored Shortlist'!M57="none",0,(LEN('Scored Shortlist'!M57)-LEN(SUBSTITUTE('Scored Shortlist'!M57,"&lt;-","")))/2)</f>
        <v>0</v>
      </c>
      <c r="V57" s="24">
        <f t="shared" si="14"/>
        <v>1</v>
      </c>
      <c r="W57" s="24">
        <f t="shared" si="15"/>
        <v>1</v>
      </c>
      <c r="X57" s="24">
        <f t="shared" si="16"/>
        <v>1</v>
      </c>
      <c r="Y57" s="24">
        <f t="shared" si="17"/>
        <v>0</v>
      </c>
      <c r="Z57" s="24">
        <f t="shared" si="18"/>
        <v>0</v>
      </c>
      <c r="AA57" s="24">
        <f t="shared" si="19"/>
        <v>1</v>
      </c>
      <c r="AB57" s="25" t="str">
        <f t="shared" si="20"/>
        <v>OK</v>
      </c>
      <c r="AC57" s="24" t="str">
        <f t="shared" si="21"/>
        <v>Not shortlisted</v>
      </c>
      <c r="AD57" s="24" t="str">
        <f>IF(ISNUMBER(SEARCH(" "&amp;LEFT('Scored Shortlist'!B57,FIND(" ",'Scored Shortlist'!B57)-1)&amp;" "," "&amp;'Scored Shortlist'!N57&amp;" ")),"YES","no")</f>
        <v>no</v>
      </c>
    </row>
    <row r="58" spans="1:30" x14ac:dyDescent="0.25">
      <c r="A58" s="24" t="str">
        <f>'Scored Shortlist'!A58</f>
        <v>CV042</v>
      </c>
      <c r="B58" s="24" t="str">
        <f>'Scored Shortlist'!C58</f>
        <v>JD3</v>
      </c>
      <c r="C58" s="24" t="str">
        <f>INDEX(Resumes!$D$2:$D$101,MATCH(A58,Resumes!$A$2:$A$101,0))</f>
        <v>MBA Operations</v>
      </c>
      <c r="D58" s="24">
        <f>INDEX(Resumes!$E$2:$E$101,MATCH(A58,Resumes!$A$2:$A$101,0))</f>
        <v>5.5</v>
      </c>
      <c r="E58" s="24" t="str">
        <f>INDEX(Resumes!$G$2:$G$101,MATCH(A58,Resumes!$A$2:$A$101,0))</f>
        <v>inventory planning, financial modelling, stakeholder management, Python</v>
      </c>
      <c r="F58" s="24" t="str">
        <f>INDEX(Resumes!$I$2:$I$101,MATCH(A58,Resumes!$A$2:$A$101,0))</f>
        <v>Diya Fernandes, MBA Operations from a tier-2 institute. 5.5 years of experience, most recently at a manufacturing company. Key skills: inventory planning, financial modelling, stakeholder management, Python. Achievement: handled 120 hires in one year. Career gap: None.</v>
      </c>
      <c r="G58" s="24" t="str">
        <f t="shared" si="11"/>
        <v>handled 120 hires in one year</v>
      </c>
      <c r="H58" s="24">
        <f>INDEX('Scoring Prompt'!$C$22:$C$23,MATCH(B58,'Scoring Prompt'!$A$22:$A$23,0))</f>
        <v>2</v>
      </c>
      <c r="I58" s="24">
        <f>INDEX('Scoring Prompt'!$D$22:$D$23,MATCH(B58,'Scoring Prompt'!$A$22:$A$23,0))</f>
        <v>4</v>
      </c>
      <c r="J58" s="24">
        <f>INDEX('Scoring Prompt'!$B$27:$C$34,MATCH(C58,'Scoring Prompt'!$A$27:$A$34,0),MATCH(B58,'Scoring Prompt'!$B$26:$C$26,0))</f>
        <v>12</v>
      </c>
      <c r="K58" s="24">
        <f>IF(AND(D58&gt;=H58,D58&lt;=I58),'Scoring Prompt'!$B$47,IF(D58&lt;H58,IF(H58-D58&lt;=1,'Scoring Prompt'!$B$48,IF(H58-D58&lt;=2,'Scoring Prompt'!$B$49,'Scoring Prompt'!$B$50)),IF(D58-I58&lt;=2,'Scoring Prompt'!$B$51,'Scoring Prompt'!$B$52)))</f>
        <v>20</v>
      </c>
      <c r="L58" s="24">
        <f>IF(B58="JD3",SUMPRODUCT(--ISNUMBER(SEARCH('Scoring Prompt'!$E$22:$I$22,E58))),SUMPRODUCT(--ISNUMBER(SEARCH('Scoring Prompt'!$E$23:$I$23,E58))))</f>
        <v>1</v>
      </c>
      <c r="M58" s="24">
        <f t="shared" si="12"/>
        <v>8</v>
      </c>
      <c r="N58" s="24">
        <f>INDEX('Scoring Prompt'!$B$38:$C$43,MATCH(G58,'Scoring Prompt'!$A$38:$A$43,0),MATCH(B58,'Scoring Prompt'!$B$37:$C$37,0))</f>
        <v>3</v>
      </c>
      <c r="O58" s="24">
        <f t="shared" si="13"/>
        <v>43</v>
      </c>
      <c r="P58" s="24">
        <f>'Scored Shortlist'!E58</f>
        <v>12</v>
      </c>
      <c r="Q58" s="24">
        <f>'Scored Shortlist'!F58</f>
        <v>20</v>
      </c>
      <c r="R58" s="24">
        <f>'Scored Shortlist'!G58</f>
        <v>8</v>
      </c>
      <c r="S58" s="24">
        <f>'Scored Shortlist'!H58</f>
        <v>3</v>
      </c>
      <c r="T58" s="24">
        <f>'Scored Shortlist'!I58</f>
        <v>43</v>
      </c>
      <c r="U58" s="24">
        <f>IF('Scored Shortlist'!M58="none",0,(LEN('Scored Shortlist'!M58)-LEN(SUBSTITUTE('Scored Shortlist'!M58,"&lt;-","")))/2)</f>
        <v>0</v>
      </c>
      <c r="V58" s="24">
        <f t="shared" si="14"/>
        <v>1</v>
      </c>
      <c r="W58" s="24">
        <f t="shared" si="15"/>
        <v>1</v>
      </c>
      <c r="X58" s="24">
        <f t="shared" si="16"/>
        <v>1</v>
      </c>
      <c r="Y58" s="24">
        <f t="shared" si="17"/>
        <v>0</v>
      </c>
      <c r="Z58" s="24">
        <f t="shared" si="18"/>
        <v>0</v>
      </c>
      <c r="AA58" s="24">
        <f t="shared" si="19"/>
        <v>1</v>
      </c>
      <c r="AB58" s="25" t="str">
        <f t="shared" si="20"/>
        <v>OK</v>
      </c>
      <c r="AC58" s="24" t="str">
        <f t="shared" si="21"/>
        <v>Not shortlisted</v>
      </c>
      <c r="AD58" s="24" t="str">
        <f>IF(ISNUMBER(SEARCH(" "&amp;LEFT('Scored Shortlist'!B58,FIND(" ",'Scored Shortlist'!B58)-1)&amp;" "," "&amp;'Scored Shortlist'!N58&amp;" ")),"YES","no")</f>
        <v>no</v>
      </c>
    </row>
    <row r="59" spans="1:30" x14ac:dyDescent="0.25">
      <c r="A59" s="24" t="str">
        <f>'Scored Shortlist'!A59</f>
        <v>CV046</v>
      </c>
      <c r="B59" s="24" t="str">
        <f>'Scored Shortlist'!C59</f>
        <v>JD3</v>
      </c>
      <c r="C59" s="24" t="str">
        <f>INDEX(Resumes!$D$2:$D$101,MATCH(A59,Resumes!$A$2:$A$101,0))</f>
        <v>MBA HR</v>
      </c>
      <c r="D59" s="24">
        <f>INDEX(Resumes!$E$2:$E$101,MATCH(A59,Resumes!$A$2:$A$101,0))</f>
        <v>4.5</v>
      </c>
      <c r="E59" s="24" t="str">
        <f>INDEX(Resumes!$G$2:$G$101,MATCH(A59,Resumes!$A$2:$A$101,0))</f>
        <v>Power BI, SAP MM, public speaking, HR analytics, campaign management, Tableau, product roadmap</v>
      </c>
      <c r="F59" s="24" t="str">
        <f>INDEX(Resumes!$I$2:$I$101,MATCH(A59,Resumes!$A$2:$A$101,0))</f>
        <v>Simran Fernandes, MBA HR from a tier-3 institute. 4.5 years of experience, most recently at a consulting firm. Key skills: Power BI, SAP MM, public speaking, HR analytics, campaign management, Tableau, product roadmap. Achievement: handled 120 hires in one year. Career gap: None.</v>
      </c>
      <c r="G59" s="24" t="str">
        <f t="shared" si="11"/>
        <v>handled 120 hires in one year</v>
      </c>
      <c r="H59" s="24">
        <f>INDEX('Scoring Prompt'!$C$22:$C$23,MATCH(B59,'Scoring Prompt'!$A$22:$A$23,0))</f>
        <v>2</v>
      </c>
      <c r="I59" s="24">
        <f>INDEX('Scoring Prompt'!$D$22:$D$23,MATCH(B59,'Scoring Prompt'!$A$22:$A$23,0))</f>
        <v>4</v>
      </c>
      <c r="J59" s="24">
        <f>INDEX('Scoring Prompt'!$B$27:$C$34,MATCH(C59,'Scoring Prompt'!$A$27:$A$34,0),MATCH(B59,'Scoring Prompt'!$B$26:$C$26,0))</f>
        <v>12</v>
      </c>
      <c r="K59" s="24">
        <f>IF(AND(D59&gt;=H59,D59&lt;=I59),'Scoring Prompt'!$B$47,IF(D59&lt;H59,IF(H59-D59&lt;=1,'Scoring Prompt'!$B$48,IF(H59-D59&lt;=2,'Scoring Prompt'!$B$49,'Scoring Prompt'!$B$50)),IF(D59-I59&lt;=2,'Scoring Prompt'!$B$51,'Scoring Prompt'!$B$52)))</f>
        <v>20</v>
      </c>
      <c r="L59" s="24">
        <f>IF(B59="JD3",SUMPRODUCT(--ISNUMBER(SEARCH('Scoring Prompt'!$E$22:$I$22,E59))),SUMPRODUCT(--ISNUMBER(SEARCH('Scoring Prompt'!$E$23:$I$23,E59))))</f>
        <v>1</v>
      </c>
      <c r="M59" s="24">
        <f t="shared" si="12"/>
        <v>8</v>
      </c>
      <c r="N59" s="24">
        <f>INDEX('Scoring Prompt'!$B$38:$C$43,MATCH(G59,'Scoring Prompt'!$A$38:$A$43,0),MATCH(B59,'Scoring Prompt'!$B$37:$C$37,0))</f>
        <v>3</v>
      </c>
      <c r="O59" s="24">
        <f t="shared" si="13"/>
        <v>43</v>
      </c>
      <c r="P59" s="24">
        <f>'Scored Shortlist'!E59</f>
        <v>12</v>
      </c>
      <c r="Q59" s="24">
        <f>'Scored Shortlist'!F59</f>
        <v>20</v>
      </c>
      <c r="R59" s="24">
        <f>'Scored Shortlist'!G59</f>
        <v>8</v>
      </c>
      <c r="S59" s="24">
        <f>'Scored Shortlist'!H59</f>
        <v>3</v>
      </c>
      <c r="T59" s="24">
        <f>'Scored Shortlist'!I59</f>
        <v>43</v>
      </c>
      <c r="U59" s="24">
        <f>IF('Scored Shortlist'!M59="none",0,(LEN('Scored Shortlist'!M59)-LEN(SUBSTITUTE('Scored Shortlist'!M59,"&lt;-","")))/2)</f>
        <v>0</v>
      </c>
      <c r="V59" s="24">
        <f t="shared" si="14"/>
        <v>1</v>
      </c>
      <c r="W59" s="24">
        <f t="shared" si="15"/>
        <v>1</v>
      </c>
      <c r="X59" s="24">
        <f t="shared" si="16"/>
        <v>1</v>
      </c>
      <c r="Y59" s="24">
        <f t="shared" si="17"/>
        <v>0</v>
      </c>
      <c r="Z59" s="24">
        <f t="shared" si="18"/>
        <v>0</v>
      </c>
      <c r="AA59" s="24">
        <f t="shared" si="19"/>
        <v>1</v>
      </c>
      <c r="AB59" s="25" t="str">
        <f t="shared" si="20"/>
        <v>OK</v>
      </c>
      <c r="AC59" s="24" t="str">
        <f t="shared" si="21"/>
        <v>Not shortlisted</v>
      </c>
      <c r="AD59" s="24" t="str">
        <f>IF(ISNUMBER(SEARCH(" "&amp;LEFT('Scored Shortlist'!B59,FIND(" ",'Scored Shortlist'!B59)-1)&amp;" "," "&amp;'Scored Shortlist'!N59&amp;" ")),"YES","no")</f>
        <v>no</v>
      </c>
    </row>
    <row r="60" spans="1:30" x14ac:dyDescent="0.25">
      <c r="A60" s="24" t="str">
        <f>'Scored Shortlist'!A60</f>
        <v>CV050</v>
      </c>
      <c r="B60" s="24" t="str">
        <f>'Scored Shortlist'!C60</f>
        <v>JD3</v>
      </c>
      <c r="C60" s="24" t="str">
        <f>INDEX(Resumes!$D$2:$D$101,MATCH(A60,Resumes!$A$2:$A$101,0))</f>
        <v>BBA</v>
      </c>
      <c r="D60" s="24">
        <f>INDEX(Resumes!$E$2:$E$101,MATCH(A60,Resumes!$A$2:$A$101,0))</f>
        <v>1.1000000000000001</v>
      </c>
      <c r="E60" s="24" t="str">
        <f>INDEX(Resumes!$G$2:$G$101,MATCH(A60,Resumes!$A$2:$A$101,0))</f>
        <v>stakeholder management, SQL, recruitment, user research, Excel, Tableau</v>
      </c>
      <c r="F60" s="24" t="str">
        <f>INDEX(Resumes!$I$2:$I$101,MATCH(A60,Resumes!$A$2:$A$101,0))</f>
        <v>Siddharth Gupta, BBA from a tier-2 institute. 1.1 years of experience, most recently at an FMCG distributor. Key skills: stakeholder management, SQL, recruitment, user research, Excel, Tableau. Achievement: built a Power BI sales dashboard used by 30 managers. Career gap: 6-month gap (exam preparation).</v>
      </c>
      <c r="G60" s="24" t="str">
        <f t="shared" si="11"/>
        <v>built a Power BI sales dashboard used by 30 managers</v>
      </c>
      <c r="H60" s="24">
        <f>INDEX('Scoring Prompt'!$C$22:$C$23,MATCH(B60,'Scoring Prompt'!$A$22:$A$23,0))</f>
        <v>2</v>
      </c>
      <c r="I60" s="24">
        <f>INDEX('Scoring Prompt'!$D$22:$D$23,MATCH(B60,'Scoring Prompt'!$A$22:$A$23,0))</f>
        <v>4</v>
      </c>
      <c r="J60" s="24">
        <f>INDEX('Scoring Prompt'!$B$27:$C$34,MATCH(C60,'Scoring Prompt'!$A$27:$A$34,0),MATCH(B60,'Scoring Prompt'!$B$26:$C$26,0))</f>
        <v>6</v>
      </c>
      <c r="K60" s="24">
        <f>IF(AND(D60&gt;=H60,D60&lt;=I60),'Scoring Prompt'!$B$47,IF(D60&lt;H60,IF(H60-D60&lt;=1,'Scoring Prompt'!$B$48,IF(H60-D60&lt;=2,'Scoring Prompt'!$B$49,'Scoring Prompt'!$B$50)),IF(D60-I60&lt;=2,'Scoring Prompt'!$B$51,'Scoring Prompt'!$B$52)))</f>
        <v>15</v>
      </c>
      <c r="L60" s="24">
        <f>IF(B60="JD3",SUMPRODUCT(--ISNUMBER(SEARCH('Scoring Prompt'!$E$22:$I$22,E60))),SUMPRODUCT(--ISNUMBER(SEARCH('Scoring Prompt'!$E$23:$I$23,E60))))</f>
        <v>1</v>
      </c>
      <c r="M60" s="24">
        <f t="shared" si="12"/>
        <v>8</v>
      </c>
      <c r="N60" s="24">
        <f>INDEX('Scoring Prompt'!$B$38:$C$43,MATCH(G60,'Scoring Prompt'!$A$38:$A$43,0),MATCH(B60,'Scoring Prompt'!$B$37:$C$37,0))</f>
        <v>10</v>
      </c>
      <c r="O60" s="24">
        <f t="shared" si="13"/>
        <v>39</v>
      </c>
      <c r="P60" s="24">
        <f>'Scored Shortlist'!E60</f>
        <v>6</v>
      </c>
      <c r="Q60" s="24">
        <f>'Scored Shortlist'!F60</f>
        <v>15</v>
      </c>
      <c r="R60" s="24">
        <f>'Scored Shortlist'!G60</f>
        <v>12</v>
      </c>
      <c r="S60" s="24">
        <f>'Scored Shortlist'!H60</f>
        <v>10</v>
      </c>
      <c r="T60" s="24">
        <f>'Scored Shortlist'!I60</f>
        <v>43</v>
      </c>
      <c r="U60" s="24">
        <f>IF('Scored Shortlist'!M60="none",0,(LEN('Scored Shortlist'!M60)-LEN(SUBSTITUTE('Scored Shortlist'!M60,"&lt;-","")))/2)</f>
        <v>1</v>
      </c>
      <c r="V60" s="24">
        <f t="shared" si="14"/>
        <v>1</v>
      </c>
      <c r="W60" s="24">
        <f t="shared" si="15"/>
        <v>1</v>
      </c>
      <c r="X60" s="24">
        <f t="shared" si="16"/>
        <v>1</v>
      </c>
      <c r="Y60" s="24">
        <f t="shared" si="17"/>
        <v>4</v>
      </c>
      <c r="Z60" s="24">
        <f t="shared" si="18"/>
        <v>4</v>
      </c>
      <c r="AA60" s="24">
        <f t="shared" si="19"/>
        <v>1</v>
      </c>
      <c r="AB60" s="25" t="str">
        <f t="shared" si="20"/>
        <v>OK</v>
      </c>
      <c r="AC60" s="24" t="str">
        <f t="shared" si="21"/>
        <v>Not shortlisted</v>
      </c>
      <c r="AD60" s="24" t="str">
        <f>IF(ISNUMBER(SEARCH(" "&amp;LEFT('Scored Shortlist'!B60,FIND(" ",'Scored Shortlist'!B60)-1)&amp;" "," "&amp;'Scored Shortlist'!N60&amp;" ")),"YES","no")</f>
        <v>no</v>
      </c>
    </row>
    <row r="61" spans="1:30" x14ac:dyDescent="0.25">
      <c r="A61" s="24" t="str">
        <f>'Scored Shortlist'!A61</f>
        <v>CV054</v>
      </c>
      <c r="B61" s="24" t="str">
        <f>'Scored Shortlist'!C61</f>
        <v>JD3</v>
      </c>
      <c r="C61" s="24" t="str">
        <f>INDEX(Resumes!$D$2:$D$101,MATCH(A61,Resumes!$A$2:$A$101,0))</f>
        <v>B.Tech + MBA</v>
      </c>
      <c r="D61" s="24">
        <f>INDEX(Resumes!$E$2:$E$101,MATCH(A61,Resumes!$A$2:$A$101,0))</f>
        <v>8.6999999999999993</v>
      </c>
      <c r="E61" s="24" t="str">
        <f>INDEX(Resumes!$G$2:$G$101,MATCH(A61,Resumes!$A$2:$A$101,0))</f>
        <v>financial modelling, inventory planning, product roadmap, negotiation, Excel, SEO</v>
      </c>
      <c r="F61" s="24" t="str">
        <f>INDEX(Resumes!$I$2:$I$101,MATCH(A61,Resumes!$A$2:$A$101,0))</f>
        <v>Sneha Das, B.Tech + MBA from a tier-1 institute. 8.7 years of experience, most recently at a manufacturing company. Key skills: financial modelling, inventory planning, product roadmap, negotiation, Excel, SEO. Achievement: led a 5-member campus marketing team. Career gap: None.</v>
      </c>
      <c r="G61" s="24" t="str">
        <f t="shared" si="11"/>
        <v>led a 5-member campus marketing team</v>
      </c>
      <c r="H61" s="24">
        <f>INDEX('Scoring Prompt'!$C$22:$C$23,MATCH(B61,'Scoring Prompt'!$A$22:$A$23,0))</f>
        <v>2</v>
      </c>
      <c r="I61" s="24">
        <f>INDEX('Scoring Prompt'!$D$22:$D$23,MATCH(B61,'Scoring Prompt'!$A$22:$A$23,0))</f>
        <v>4</v>
      </c>
      <c r="J61" s="24">
        <f>INDEX('Scoring Prompt'!$B$27:$C$34,MATCH(C61,'Scoring Prompt'!$A$27:$A$34,0),MATCH(B61,'Scoring Prompt'!$B$26:$C$26,0))</f>
        <v>12</v>
      </c>
      <c r="K61" s="24">
        <f>IF(AND(D61&gt;=H61,D61&lt;=I61),'Scoring Prompt'!$B$47,IF(D61&lt;H61,IF(H61-D61&lt;=1,'Scoring Prompt'!$B$48,IF(H61-D61&lt;=2,'Scoring Prompt'!$B$49,'Scoring Prompt'!$B$50)),IF(D61-I61&lt;=2,'Scoring Prompt'!$B$51,'Scoring Prompt'!$B$52)))</f>
        <v>12</v>
      </c>
      <c r="L61" s="24">
        <f>IF(B61="JD3",SUMPRODUCT(--ISNUMBER(SEARCH('Scoring Prompt'!$E$22:$I$22,E61))),SUMPRODUCT(--ISNUMBER(SEARCH('Scoring Prompt'!$E$23:$I$23,E61))))</f>
        <v>2</v>
      </c>
      <c r="M61" s="24">
        <f t="shared" si="12"/>
        <v>16</v>
      </c>
      <c r="N61" s="24">
        <f>INDEX('Scoring Prompt'!$B$38:$C$43,MATCH(G61,'Scoring Prompt'!$A$38:$A$43,0),MATCH(B61,'Scoring Prompt'!$B$37:$C$37,0))</f>
        <v>3</v>
      </c>
      <c r="O61" s="24">
        <f t="shared" si="13"/>
        <v>43</v>
      </c>
      <c r="P61" s="24">
        <f>'Scored Shortlist'!E61</f>
        <v>12</v>
      </c>
      <c r="Q61" s="24">
        <f>'Scored Shortlist'!F61</f>
        <v>12</v>
      </c>
      <c r="R61" s="24">
        <f>'Scored Shortlist'!G61</f>
        <v>16</v>
      </c>
      <c r="S61" s="24">
        <f>'Scored Shortlist'!H61</f>
        <v>3</v>
      </c>
      <c r="T61" s="24">
        <f>'Scored Shortlist'!I61</f>
        <v>43</v>
      </c>
      <c r="U61" s="24">
        <f>IF('Scored Shortlist'!M61="none",0,(LEN('Scored Shortlist'!M61)-LEN(SUBSTITUTE('Scored Shortlist'!M61,"&lt;-","")))/2)</f>
        <v>0</v>
      </c>
      <c r="V61" s="24">
        <f t="shared" si="14"/>
        <v>1</v>
      </c>
      <c r="W61" s="24">
        <f t="shared" si="15"/>
        <v>1</v>
      </c>
      <c r="X61" s="24">
        <f t="shared" si="16"/>
        <v>1</v>
      </c>
      <c r="Y61" s="24">
        <f t="shared" si="17"/>
        <v>0</v>
      </c>
      <c r="Z61" s="24">
        <f t="shared" si="18"/>
        <v>0</v>
      </c>
      <c r="AA61" s="24">
        <f t="shared" si="19"/>
        <v>1</v>
      </c>
      <c r="AB61" s="25" t="str">
        <f t="shared" si="20"/>
        <v>OK</v>
      </c>
      <c r="AC61" s="24" t="str">
        <f t="shared" si="21"/>
        <v>Not shortlisted</v>
      </c>
      <c r="AD61" s="24" t="str">
        <f>IF(ISNUMBER(SEARCH(" "&amp;LEFT('Scored Shortlist'!B61,FIND(" ",'Scored Shortlist'!B61)-1)&amp;" "," "&amp;'Scored Shortlist'!N61&amp;" ")),"YES","no")</f>
        <v>no</v>
      </c>
    </row>
    <row r="62" spans="1:30" x14ac:dyDescent="0.25">
      <c r="A62" s="24" t="str">
        <f>'Scored Shortlist'!A62</f>
        <v>CV075</v>
      </c>
      <c r="B62" s="24" t="str">
        <f>'Scored Shortlist'!C62</f>
        <v>JD3</v>
      </c>
      <c r="C62" s="24" t="str">
        <f>INDEX(Resumes!$D$2:$D$101,MATCH(A62,Resumes!$A$2:$A$101,0))</f>
        <v>MBA Marketing</v>
      </c>
      <c r="D62" s="24">
        <f>INDEX(Resumes!$E$2:$E$101,MATCH(A62,Resumes!$A$2:$A$101,0))</f>
        <v>8.1999999999999993</v>
      </c>
      <c r="E62" s="24" t="str">
        <f>INDEX(Resumes!$G$2:$G$101,MATCH(A62,Resumes!$A$2:$A$101,0))</f>
        <v>campaign management, Excel, agile, Google Analytics, labour law, valuation, vendor management</v>
      </c>
      <c r="F62" s="24" t="str">
        <f>INDEX(Resumes!$I$2:$I$101,MATCH(A62,Resumes!$A$2:$A$101,0))</f>
        <v>Nikhil Pillai, MBA Marketing from a tier-3 institute. 8.2 years of experience, most recently at a consulting firm. Key skills: campaign management, Excel, agile, Google Analytics, labour law, valuation, vendor management. Achievement: handled 120 hires in one year. Career gap: 6-month gap (exam preparation).</v>
      </c>
      <c r="G62" s="24" t="str">
        <f t="shared" si="11"/>
        <v>handled 120 hires in one year</v>
      </c>
      <c r="H62" s="24">
        <f>INDEX('Scoring Prompt'!$C$22:$C$23,MATCH(B62,'Scoring Prompt'!$A$22:$A$23,0))</f>
        <v>2</v>
      </c>
      <c r="I62" s="24">
        <f>INDEX('Scoring Prompt'!$D$22:$D$23,MATCH(B62,'Scoring Prompt'!$A$22:$A$23,0))</f>
        <v>4</v>
      </c>
      <c r="J62" s="24">
        <f>INDEX('Scoring Prompt'!$B$27:$C$34,MATCH(C62,'Scoring Prompt'!$A$27:$A$34,0),MATCH(B62,'Scoring Prompt'!$B$26:$C$26,0))</f>
        <v>12</v>
      </c>
      <c r="K62" s="24">
        <f>IF(AND(D62&gt;=H62,D62&lt;=I62),'Scoring Prompt'!$B$47,IF(D62&lt;H62,IF(H62-D62&lt;=1,'Scoring Prompt'!$B$48,IF(H62-D62&lt;=2,'Scoring Prompt'!$B$49,'Scoring Prompt'!$B$50)),IF(D62-I62&lt;=2,'Scoring Prompt'!$B$51,'Scoring Prompt'!$B$52)))</f>
        <v>12</v>
      </c>
      <c r="L62" s="24">
        <f>IF(B62="JD3",SUMPRODUCT(--ISNUMBER(SEARCH('Scoring Prompt'!$E$22:$I$22,E62))),SUMPRODUCT(--ISNUMBER(SEARCH('Scoring Prompt'!$E$23:$I$23,E62))))</f>
        <v>2</v>
      </c>
      <c r="M62" s="24">
        <f t="shared" si="12"/>
        <v>16</v>
      </c>
      <c r="N62" s="24">
        <f>INDEX('Scoring Prompt'!$B$38:$C$43,MATCH(G62,'Scoring Prompt'!$A$38:$A$43,0),MATCH(B62,'Scoring Prompt'!$B$37:$C$37,0))</f>
        <v>3</v>
      </c>
      <c r="O62" s="24">
        <f t="shared" si="13"/>
        <v>43</v>
      </c>
      <c r="P62" s="24">
        <f>'Scored Shortlist'!E62</f>
        <v>12</v>
      </c>
      <c r="Q62" s="24">
        <f>'Scored Shortlist'!F62</f>
        <v>12</v>
      </c>
      <c r="R62" s="24">
        <f>'Scored Shortlist'!G62</f>
        <v>16</v>
      </c>
      <c r="S62" s="24">
        <f>'Scored Shortlist'!H62</f>
        <v>3</v>
      </c>
      <c r="T62" s="24">
        <f>'Scored Shortlist'!I62</f>
        <v>43</v>
      </c>
      <c r="U62" s="24">
        <f>IF('Scored Shortlist'!M62="none",0,(LEN('Scored Shortlist'!M62)-LEN(SUBSTITUTE('Scored Shortlist'!M62,"&lt;-","")))/2)</f>
        <v>0</v>
      </c>
      <c r="V62" s="24">
        <f t="shared" si="14"/>
        <v>1</v>
      </c>
      <c r="W62" s="24">
        <f t="shared" si="15"/>
        <v>1</v>
      </c>
      <c r="X62" s="24">
        <f t="shared" si="16"/>
        <v>1</v>
      </c>
      <c r="Y62" s="24">
        <f t="shared" si="17"/>
        <v>0</v>
      </c>
      <c r="Z62" s="24">
        <f t="shared" si="18"/>
        <v>0</v>
      </c>
      <c r="AA62" s="24">
        <f t="shared" si="19"/>
        <v>1</v>
      </c>
      <c r="AB62" s="25" t="str">
        <f t="shared" si="20"/>
        <v>OK</v>
      </c>
      <c r="AC62" s="24" t="str">
        <f t="shared" si="21"/>
        <v>Not shortlisted</v>
      </c>
      <c r="AD62" s="24" t="str">
        <f>IF(ISNUMBER(SEARCH(" "&amp;LEFT('Scored Shortlist'!B62,FIND(" ",'Scored Shortlist'!B62)-1)&amp;" "," "&amp;'Scored Shortlist'!N62&amp;" ")),"YES","no")</f>
        <v>no</v>
      </c>
    </row>
    <row r="63" spans="1:30" x14ac:dyDescent="0.25">
      <c r="A63" s="24" t="str">
        <f>'Scored Shortlist'!A63</f>
        <v>CV081</v>
      </c>
      <c r="B63" s="24" t="str">
        <f>'Scored Shortlist'!C63</f>
        <v>JD3</v>
      </c>
      <c r="C63" s="24" t="str">
        <f>INDEX(Resumes!$D$2:$D$101,MATCH(A63,Resumes!$A$2:$A$101,0))</f>
        <v>MBA Marketing</v>
      </c>
      <c r="D63" s="24">
        <f>INDEX(Resumes!$E$2:$E$101,MATCH(A63,Resumes!$A$2:$A$101,0))</f>
        <v>4.3</v>
      </c>
      <c r="E63" s="24" t="str">
        <f>INDEX(Resumes!$G$2:$G$101,MATCH(A63,Resumes!$A$2:$A$101,0))</f>
        <v>Power BI, product roadmap, negotiation, Tableau, Python</v>
      </c>
      <c r="F63" s="24" t="str">
        <f>INDEX(Resumes!$I$2:$I$101,MATCH(A63,Resumes!$A$2:$A$101,0))</f>
        <v>Kabir Reddy, MBA Marketing from a tier-2 institute. 4.3 years of experience, most recently at a retail chain. Key skills: Power BI, product roadmap, negotiation, Tableau, Python. Achievement: led a 5-member campus marketing team. Career gap: None.</v>
      </c>
      <c r="G63" s="24" t="str">
        <f t="shared" si="11"/>
        <v>led a 5-member campus marketing team</v>
      </c>
      <c r="H63" s="24">
        <f>INDEX('Scoring Prompt'!$C$22:$C$23,MATCH(B63,'Scoring Prompt'!$A$22:$A$23,0))</f>
        <v>2</v>
      </c>
      <c r="I63" s="24">
        <f>INDEX('Scoring Prompt'!$D$22:$D$23,MATCH(B63,'Scoring Prompt'!$A$22:$A$23,0))</f>
        <v>4</v>
      </c>
      <c r="J63" s="24">
        <f>INDEX('Scoring Prompt'!$B$27:$C$34,MATCH(C63,'Scoring Prompt'!$A$27:$A$34,0),MATCH(B63,'Scoring Prompt'!$B$26:$C$26,0))</f>
        <v>12</v>
      </c>
      <c r="K63" s="24">
        <f>IF(AND(D63&gt;=H63,D63&lt;=I63),'Scoring Prompt'!$B$47,IF(D63&lt;H63,IF(H63-D63&lt;=1,'Scoring Prompt'!$B$48,IF(H63-D63&lt;=2,'Scoring Prompt'!$B$49,'Scoring Prompt'!$B$50)),IF(D63-I63&lt;=2,'Scoring Prompt'!$B$51,'Scoring Prompt'!$B$52)))</f>
        <v>20</v>
      </c>
      <c r="L63" s="24">
        <f>IF(B63="JD3",SUMPRODUCT(--ISNUMBER(SEARCH('Scoring Prompt'!$E$22:$I$22,E63))),SUMPRODUCT(--ISNUMBER(SEARCH('Scoring Prompt'!$E$23:$I$23,E63))))</f>
        <v>1</v>
      </c>
      <c r="M63" s="24">
        <f t="shared" si="12"/>
        <v>8</v>
      </c>
      <c r="N63" s="24">
        <f>INDEX('Scoring Prompt'!$B$38:$C$43,MATCH(G63,'Scoring Prompt'!$A$38:$A$43,0),MATCH(B63,'Scoring Prompt'!$B$37:$C$37,0))</f>
        <v>3</v>
      </c>
      <c r="O63" s="24">
        <f t="shared" si="13"/>
        <v>43</v>
      </c>
      <c r="P63" s="24">
        <f>'Scored Shortlist'!E63</f>
        <v>12</v>
      </c>
      <c r="Q63" s="24">
        <f>'Scored Shortlist'!F63</f>
        <v>20</v>
      </c>
      <c r="R63" s="24">
        <f>'Scored Shortlist'!G63</f>
        <v>8</v>
      </c>
      <c r="S63" s="24">
        <f>'Scored Shortlist'!H63</f>
        <v>3</v>
      </c>
      <c r="T63" s="24">
        <f>'Scored Shortlist'!I63</f>
        <v>43</v>
      </c>
      <c r="U63" s="24">
        <f>IF('Scored Shortlist'!M63="none",0,(LEN('Scored Shortlist'!M63)-LEN(SUBSTITUTE('Scored Shortlist'!M63,"&lt;-","")))/2)</f>
        <v>0</v>
      </c>
      <c r="V63" s="24">
        <f t="shared" si="14"/>
        <v>1</v>
      </c>
      <c r="W63" s="24">
        <f t="shared" si="15"/>
        <v>1</v>
      </c>
      <c r="X63" s="24">
        <f t="shared" si="16"/>
        <v>1</v>
      </c>
      <c r="Y63" s="24">
        <f t="shared" si="17"/>
        <v>0</v>
      </c>
      <c r="Z63" s="24">
        <f t="shared" si="18"/>
        <v>0</v>
      </c>
      <c r="AA63" s="24">
        <f t="shared" si="19"/>
        <v>1</v>
      </c>
      <c r="AB63" s="25" t="str">
        <f t="shared" si="20"/>
        <v>OK</v>
      </c>
      <c r="AC63" s="24" t="str">
        <f t="shared" si="21"/>
        <v>Not shortlisted</v>
      </c>
      <c r="AD63" s="24" t="str">
        <f>IF(ISNUMBER(SEARCH(" "&amp;LEFT('Scored Shortlist'!B63,FIND(" ",'Scored Shortlist'!B63)-1)&amp;" "," "&amp;'Scored Shortlist'!N63&amp;" ")),"YES","no")</f>
        <v>no</v>
      </c>
    </row>
    <row r="64" spans="1:30" x14ac:dyDescent="0.25">
      <c r="A64" s="24" t="str">
        <f>'Scored Shortlist'!A64</f>
        <v>CV012</v>
      </c>
      <c r="B64" s="24" t="str">
        <f>'Scored Shortlist'!C64</f>
        <v>JD3</v>
      </c>
      <c r="C64" s="24" t="str">
        <f>INDEX(Resumes!$D$2:$D$101,MATCH(A64,Resumes!$A$2:$A$101,0))</f>
        <v>B.Tech + MBA</v>
      </c>
      <c r="D64" s="24">
        <f>INDEX(Resumes!$E$2:$E$101,MATCH(A64,Resumes!$A$2:$A$101,0))</f>
        <v>0.7</v>
      </c>
      <c r="E64" s="24" t="str">
        <f>INDEX(Resumes!$G$2:$G$101,MATCH(A64,Resumes!$A$2:$A$101,0))</f>
        <v>SAP MM, demand forecasting, Power BI, campaign management, public speaking, Python, vendor management, inventory planning</v>
      </c>
      <c r="F64" s="24" t="str">
        <f>INDEX(Resumes!$I$2:$I$101,MATCH(A64,Resumes!$A$2:$A$101,0))</f>
        <v>Gauri Chatterjee, B.Tech + MBA from a tier-2 institute. 0.7 years of experience, most recently at a fintech start-up. Key skills: SAP MM, demand forecasting, Power BI, campaign management, public speaking, Python, vendor management, inventory planning. Achievement: cut reporting time by 40% by automating Excel reports. Career gap: None.</v>
      </c>
      <c r="G64" s="24" t="str">
        <f t="shared" si="11"/>
        <v>cut reporting time by 40% by automating Excel reports</v>
      </c>
      <c r="H64" s="24">
        <f>INDEX('Scoring Prompt'!$C$22:$C$23,MATCH(B64,'Scoring Prompt'!$A$22:$A$23,0))</f>
        <v>2</v>
      </c>
      <c r="I64" s="24">
        <f>INDEX('Scoring Prompt'!$D$22:$D$23,MATCH(B64,'Scoring Prompt'!$A$22:$A$23,0))</f>
        <v>4</v>
      </c>
      <c r="J64" s="24">
        <f>INDEX('Scoring Prompt'!$B$27:$C$34,MATCH(C64,'Scoring Prompt'!$A$27:$A$34,0),MATCH(B64,'Scoring Prompt'!$B$26:$C$26,0))</f>
        <v>12</v>
      </c>
      <c r="K64" s="24">
        <f>IF(AND(D64&gt;=H64,D64&lt;=I64),'Scoring Prompt'!$B$47,IF(D64&lt;H64,IF(H64-D64&lt;=1,'Scoring Prompt'!$B$48,IF(H64-D64&lt;=2,'Scoring Prompt'!$B$49,'Scoring Prompt'!$B$50)),IF(D64-I64&lt;=2,'Scoring Prompt'!$B$51,'Scoring Prompt'!$B$52)))</f>
        <v>8</v>
      </c>
      <c r="L64" s="24">
        <f>IF(B64="JD3",SUMPRODUCT(--ISNUMBER(SEARCH('Scoring Prompt'!$E$22:$I$22,E64))),SUMPRODUCT(--ISNUMBER(SEARCH('Scoring Prompt'!$E$23:$I$23,E64))))</f>
        <v>1</v>
      </c>
      <c r="M64" s="24">
        <f t="shared" si="12"/>
        <v>8</v>
      </c>
      <c r="N64" s="24">
        <f>INDEX('Scoring Prompt'!$B$38:$C$43,MATCH(G64,'Scoring Prompt'!$A$38:$A$43,0),MATCH(B64,'Scoring Prompt'!$B$37:$C$37,0))</f>
        <v>10</v>
      </c>
      <c r="O64" s="24">
        <f t="shared" si="13"/>
        <v>38</v>
      </c>
      <c r="P64" s="24">
        <f>'Scored Shortlist'!E64</f>
        <v>12</v>
      </c>
      <c r="Q64" s="24">
        <f>'Scored Shortlist'!F64</f>
        <v>8</v>
      </c>
      <c r="R64" s="24">
        <f>'Scored Shortlist'!G64</f>
        <v>12</v>
      </c>
      <c r="S64" s="24">
        <f>'Scored Shortlist'!H64</f>
        <v>10</v>
      </c>
      <c r="T64" s="24">
        <f>'Scored Shortlist'!I64</f>
        <v>42</v>
      </c>
      <c r="U64" s="24">
        <f>IF('Scored Shortlist'!M64="none",0,(LEN('Scored Shortlist'!M64)-LEN(SUBSTITUTE('Scored Shortlist'!M64,"&lt;-","")))/2)</f>
        <v>1</v>
      </c>
      <c r="V64" s="24">
        <f t="shared" si="14"/>
        <v>1</v>
      </c>
      <c r="W64" s="24">
        <f t="shared" si="15"/>
        <v>1</v>
      </c>
      <c r="X64" s="24">
        <f t="shared" si="16"/>
        <v>1</v>
      </c>
      <c r="Y64" s="24">
        <f t="shared" si="17"/>
        <v>4</v>
      </c>
      <c r="Z64" s="24">
        <f t="shared" si="18"/>
        <v>4</v>
      </c>
      <c r="AA64" s="24">
        <f t="shared" si="19"/>
        <v>1</v>
      </c>
      <c r="AB64" s="25" t="str">
        <f t="shared" si="20"/>
        <v>OK</v>
      </c>
      <c r="AC64" s="24" t="str">
        <f t="shared" si="21"/>
        <v>Not shortlisted</v>
      </c>
      <c r="AD64" s="24" t="str">
        <f>IF(ISNUMBER(SEARCH(" "&amp;LEFT('Scored Shortlist'!B64,FIND(" ",'Scored Shortlist'!B64)-1)&amp;" "," "&amp;'Scored Shortlist'!N64&amp;" ")),"YES","no")</f>
        <v>no</v>
      </c>
    </row>
    <row r="65" spans="1:30" x14ac:dyDescent="0.25">
      <c r="A65" s="24" t="str">
        <f>'Scored Shortlist'!A65</f>
        <v>CV014</v>
      </c>
      <c r="B65" s="24" t="str">
        <f>'Scored Shortlist'!C65</f>
        <v>JD3</v>
      </c>
      <c r="C65" s="24" t="str">
        <f>INDEX(Resumes!$D$2:$D$101,MATCH(A65,Resumes!$A$2:$A$101,0))</f>
        <v>B.Com</v>
      </c>
      <c r="D65" s="24">
        <f>INDEX(Resumes!$E$2:$E$101,MATCH(A65,Resumes!$A$2:$A$101,0))</f>
        <v>5.8</v>
      </c>
      <c r="E65" s="24" t="str">
        <f>INDEX(Resumes!$G$2:$G$101,MATCH(A65,Resumes!$A$2:$A$101,0))</f>
        <v>content writing, campaign management, recruitment, Tableau, negotiation, stakeholder management, UPI/payments, labour law</v>
      </c>
      <c r="F65" s="24" t="str">
        <f>INDEX(Resumes!$I$2:$I$101,MATCH(A65,Resumes!$A$2:$A$101,0))</f>
        <v>Swati Singh, B.Com from a tier-3 institute. 5.8 years of experience, most recently at a retail chain. Key skills: content writing, campaign management, recruitment, Tableau, negotiation, stakeholder management, UPI/payments, labour law. Achievement: built a Power BI sales dashboard used by 30 managers. Career gap: None.</v>
      </c>
      <c r="G65" s="24" t="str">
        <f t="shared" si="11"/>
        <v>built a Power BI sales dashboard used by 30 managers</v>
      </c>
      <c r="H65" s="24">
        <f>INDEX('Scoring Prompt'!$C$22:$C$23,MATCH(B65,'Scoring Prompt'!$A$22:$A$23,0))</f>
        <v>2</v>
      </c>
      <c r="I65" s="24">
        <f>INDEX('Scoring Prompt'!$D$22:$D$23,MATCH(B65,'Scoring Prompt'!$A$22:$A$23,0))</f>
        <v>4</v>
      </c>
      <c r="J65" s="24">
        <f>INDEX('Scoring Prompt'!$B$27:$C$34,MATCH(C65,'Scoring Prompt'!$A$27:$A$34,0),MATCH(B65,'Scoring Prompt'!$B$26:$C$26,0))</f>
        <v>8</v>
      </c>
      <c r="K65" s="24">
        <f>IF(AND(D65&gt;=H65,D65&lt;=I65),'Scoring Prompt'!$B$47,IF(D65&lt;H65,IF(H65-D65&lt;=1,'Scoring Prompt'!$B$48,IF(H65-D65&lt;=2,'Scoring Prompt'!$B$49,'Scoring Prompt'!$B$50)),IF(D65-I65&lt;=2,'Scoring Prompt'!$B$51,'Scoring Prompt'!$B$52)))</f>
        <v>20</v>
      </c>
      <c r="L65" s="24">
        <f>IF(B65="JD3",SUMPRODUCT(--ISNUMBER(SEARCH('Scoring Prompt'!$E$22:$I$22,E65))),SUMPRODUCT(--ISNUMBER(SEARCH('Scoring Prompt'!$E$23:$I$23,E65))))</f>
        <v>0</v>
      </c>
      <c r="M65" s="24">
        <f t="shared" si="12"/>
        <v>0</v>
      </c>
      <c r="N65" s="24">
        <f>INDEX('Scoring Prompt'!$B$38:$C$43,MATCH(G65,'Scoring Prompt'!$A$38:$A$43,0),MATCH(B65,'Scoring Prompt'!$B$37:$C$37,0))</f>
        <v>10</v>
      </c>
      <c r="O65" s="24">
        <f t="shared" si="13"/>
        <v>38</v>
      </c>
      <c r="P65" s="24">
        <f>'Scored Shortlist'!E65</f>
        <v>8</v>
      </c>
      <c r="Q65" s="24">
        <f>'Scored Shortlist'!F65</f>
        <v>20</v>
      </c>
      <c r="R65" s="24">
        <f>'Scored Shortlist'!G65</f>
        <v>4</v>
      </c>
      <c r="S65" s="24">
        <f>'Scored Shortlist'!H65</f>
        <v>10</v>
      </c>
      <c r="T65" s="24">
        <f>'Scored Shortlist'!I65</f>
        <v>42</v>
      </c>
      <c r="U65" s="24">
        <f>IF('Scored Shortlist'!M65="none",0,(LEN('Scored Shortlist'!M65)-LEN(SUBSTITUTE('Scored Shortlist'!M65,"&lt;-","")))/2)</f>
        <v>1</v>
      </c>
      <c r="V65" s="24">
        <f t="shared" si="14"/>
        <v>1</v>
      </c>
      <c r="W65" s="24">
        <f t="shared" si="15"/>
        <v>1</v>
      </c>
      <c r="X65" s="24">
        <f t="shared" si="16"/>
        <v>1</v>
      </c>
      <c r="Y65" s="24">
        <f t="shared" si="17"/>
        <v>4</v>
      </c>
      <c r="Z65" s="24">
        <f t="shared" si="18"/>
        <v>4</v>
      </c>
      <c r="AA65" s="24">
        <f t="shared" si="19"/>
        <v>1</v>
      </c>
      <c r="AB65" s="25" t="str">
        <f t="shared" si="20"/>
        <v>OK</v>
      </c>
      <c r="AC65" s="24" t="str">
        <f t="shared" si="21"/>
        <v>Not shortlisted</v>
      </c>
      <c r="AD65" s="24" t="str">
        <f>IF(ISNUMBER(SEARCH(" "&amp;LEFT('Scored Shortlist'!B65,FIND(" ",'Scored Shortlist'!B65)-1)&amp;" "," "&amp;'Scored Shortlist'!N65&amp;" ")),"YES","no")</f>
        <v>no</v>
      </c>
    </row>
    <row r="66" spans="1:30" x14ac:dyDescent="0.25">
      <c r="A66" s="24" t="str">
        <f>'Scored Shortlist'!A66</f>
        <v>CV027</v>
      </c>
      <c r="B66" s="24" t="str">
        <f>'Scored Shortlist'!C66</f>
        <v>JD3</v>
      </c>
      <c r="C66" s="24" t="str">
        <f>INDEX(Resumes!$D$2:$D$101,MATCH(A66,Resumes!$A$2:$A$101,0))</f>
        <v>BBA</v>
      </c>
      <c r="D66" s="24">
        <f>INDEX(Resumes!$E$2:$E$101,MATCH(A66,Resumes!$A$2:$A$101,0))</f>
        <v>4</v>
      </c>
      <c r="E66" s="24" t="str">
        <f>INDEX(Resumes!$G$2:$G$101,MATCH(A66,Resumes!$A$2:$A$101,0))</f>
        <v>recruitment, valuation, vendor management, user research, A/B testing, content writing, SAP MM</v>
      </c>
      <c r="F66" s="24" t="str">
        <f>INDEX(Resumes!$I$2:$I$101,MATCH(A66,Resumes!$A$2:$A$101,0))</f>
        <v>Rohan Iyer, BBA from a tier-2 institute. 4.0 years of experience, most recently at a consulting firm. Key skills: recruitment, valuation, vendor management, user research, A/B testing, content writing, SAP MM. Achievement: handled 120 hires in one year. Career gap: 1-year career break (family).</v>
      </c>
      <c r="G66" s="24" t="str">
        <f t="shared" si="11"/>
        <v>handled 120 hires in one year</v>
      </c>
      <c r="H66" s="24">
        <f>INDEX('Scoring Prompt'!$C$22:$C$23,MATCH(B66,'Scoring Prompt'!$A$22:$A$23,0))</f>
        <v>2</v>
      </c>
      <c r="I66" s="24">
        <f>INDEX('Scoring Prompt'!$D$22:$D$23,MATCH(B66,'Scoring Prompt'!$A$22:$A$23,0))</f>
        <v>4</v>
      </c>
      <c r="J66" s="24">
        <f>INDEX('Scoring Prompt'!$B$27:$C$34,MATCH(C66,'Scoring Prompt'!$A$27:$A$34,0),MATCH(B66,'Scoring Prompt'!$B$26:$C$26,0))</f>
        <v>6</v>
      </c>
      <c r="K66" s="24">
        <f>IF(AND(D66&gt;=H66,D66&lt;=I66),'Scoring Prompt'!$B$47,IF(D66&lt;H66,IF(H66-D66&lt;=1,'Scoring Prompt'!$B$48,IF(H66-D66&lt;=2,'Scoring Prompt'!$B$49,'Scoring Prompt'!$B$50)),IF(D66-I66&lt;=2,'Scoring Prompt'!$B$51,'Scoring Prompt'!$B$52)))</f>
        <v>25</v>
      </c>
      <c r="L66" s="24">
        <f>IF(B66="JD3",SUMPRODUCT(--ISNUMBER(SEARCH('Scoring Prompt'!$E$22:$I$22,E66))),SUMPRODUCT(--ISNUMBER(SEARCH('Scoring Prompt'!$E$23:$I$23,E66))))</f>
        <v>1</v>
      </c>
      <c r="M66" s="24">
        <f t="shared" si="12"/>
        <v>8</v>
      </c>
      <c r="N66" s="24">
        <f>INDEX('Scoring Prompt'!$B$38:$C$43,MATCH(G66,'Scoring Prompt'!$A$38:$A$43,0),MATCH(B66,'Scoring Prompt'!$B$37:$C$37,0))</f>
        <v>3</v>
      </c>
      <c r="O66" s="24">
        <f t="shared" si="13"/>
        <v>42</v>
      </c>
      <c r="P66" s="24">
        <f>'Scored Shortlist'!E66</f>
        <v>6</v>
      </c>
      <c r="Q66" s="24">
        <f>'Scored Shortlist'!F66</f>
        <v>25</v>
      </c>
      <c r="R66" s="24">
        <f>'Scored Shortlist'!G66</f>
        <v>8</v>
      </c>
      <c r="S66" s="24">
        <f>'Scored Shortlist'!H66</f>
        <v>3</v>
      </c>
      <c r="T66" s="24">
        <f>'Scored Shortlist'!I66</f>
        <v>42</v>
      </c>
      <c r="U66" s="24">
        <f>IF('Scored Shortlist'!M66="none",0,(LEN('Scored Shortlist'!M66)-LEN(SUBSTITUTE('Scored Shortlist'!M66,"&lt;-","")))/2)</f>
        <v>0</v>
      </c>
      <c r="V66" s="24">
        <f t="shared" si="14"/>
        <v>1</v>
      </c>
      <c r="W66" s="24">
        <f t="shared" si="15"/>
        <v>1</v>
      </c>
      <c r="X66" s="24">
        <f t="shared" si="16"/>
        <v>1</v>
      </c>
      <c r="Y66" s="24">
        <f t="shared" si="17"/>
        <v>0</v>
      </c>
      <c r="Z66" s="24">
        <f t="shared" si="18"/>
        <v>0</v>
      </c>
      <c r="AA66" s="24">
        <f t="shared" si="19"/>
        <v>1</v>
      </c>
      <c r="AB66" s="25" t="str">
        <f t="shared" si="20"/>
        <v>OK</v>
      </c>
      <c r="AC66" s="24" t="str">
        <f t="shared" si="21"/>
        <v>Not shortlisted</v>
      </c>
      <c r="AD66" s="24" t="str">
        <f>IF(ISNUMBER(SEARCH(" "&amp;LEFT('Scored Shortlist'!B66,FIND(" ",'Scored Shortlist'!B66)-1)&amp;" "," "&amp;'Scored Shortlist'!N66&amp;" ")),"YES","no")</f>
        <v>no</v>
      </c>
    </row>
    <row r="67" spans="1:30" x14ac:dyDescent="0.25">
      <c r="A67" s="24" t="str">
        <f>'Scored Shortlist'!A67</f>
        <v>CV035</v>
      </c>
      <c r="B67" s="24" t="str">
        <f>'Scored Shortlist'!C67</f>
        <v>JD3</v>
      </c>
      <c r="C67" s="24" t="str">
        <f>INDEX(Resumes!$D$2:$D$101,MATCH(A67,Resumes!$A$2:$A$101,0))</f>
        <v>MBA HR</v>
      </c>
      <c r="D67" s="24">
        <f>INDEX(Resumes!$E$2:$E$101,MATCH(A67,Resumes!$A$2:$A$101,0))</f>
        <v>1.1000000000000001</v>
      </c>
      <c r="E67" s="24" t="str">
        <f>INDEX(Resumes!$G$2:$G$101,MATCH(A67,Resumes!$A$2:$A$101,0))</f>
        <v>Python, Google Analytics, Tableau, stakeholder management, SQL, valuation, product roadmap, A/B testing</v>
      </c>
      <c r="F67" s="24" t="str">
        <f>INDEX(Resumes!$I$2:$I$101,MATCH(A67,Resumes!$A$2:$A$101,0))</f>
        <v>Deepak D'Souza, MBA HR from a tier-2 institute. 1.1 years of experience, most recently at a fintech start-up. Key skills: Python, Google Analytics, Tableau, stakeholder management, SQL, valuation, product roadmap, A/B testing. Achievement: handled 120 hires in one year. Career gap: None.</v>
      </c>
      <c r="G67" s="24" t="str">
        <f t="shared" si="11"/>
        <v>handled 120 hires in one year</v>
      </c>
      <c r="H67" s="24">
        <f>INDEX('Scoring Prompt'!$C$22:$C$23,MATCH(B67,'Scoring Prompt'!$A$22:$A$23,0))</f>
        <v>2</v>
      </c>
      <c r="I67" s="24">
        <f>INDEX('Scoring Prompt'!$D$22:$D$23,MATCH(B67,'Scoring Prompt'!$A$22:$A$23,0))</f>
        <v>4</v>
      </c>
      <c r="J67" s="24">
        <f>INDEX('Scoring Prompt'!$B$27:$C$34,MATCH(C67,'Scoring Prompt'!$A$27:$A$34,0),MATCH(B67,'Scoring Prompt'!$B$26:$C$26,0))</f>
        <v>12</v>
      </c>
      <c r="K67" s="24">
        <f>IF(AND(D67&gt;=H67,D67&lt;=I67),'Scoring Prompt'!$B$47,IF(D67&lt;H67,IF(H67-D67&lt;=1,'Scoring Prompt'!$B$48,IF(H67-D67&lt;=2,'Scoring Prompt'!$B$49,'Scoring Prompt'!$B$50)),IF(D67-I67&lt;=2,'Scoring Prompt'!$B$51,'Scoring Prompt'!$B$52)))</f>
        <v>15</v>
      </c>
      <c r="L67" s="24">
        <f>IF(B67="JD3",SUMPRODUCT(--ISNUMBER(SEARCH('Scoring Prompt'!$E$22:$I$22,E67))),SUMPRODUCT(--ISNUMBER(SEARCH('Scoring Prompt'!$E$23:$I$23,E67))))</f>
        <v>1</v>
      </c>
      <c r="M67" s="24">
        <f t="shared" si="12"/>
        <v>8</v>
      </c>
      <c r="N67" s="24">
        <f>INDEX('Scoring Prompt'!$B$38:$C$43,MATCH(G67,'Scoring Prompt'!$A$38:$A$43,0),MATCH(B67,'Scoring Prompt'!$B$37:$C$37,0))</f>
        <v>3</v>
      </c>
      <c r="O67" s="24">
        <f t="shared" si="13"/>
        <v>38</v>
      </c>
      <c r="P67" s="24">
        <f>'Scored Shortlist'!E67</f>
        <v>12</v>
      </c>
      <c r="Q67" s="24">
        <f>'Scored Shortlist'!F67</f>
        <v>15</v>
      </c>
      <c r="R67" s="24">
        <f>'Scored Shortlist'!G67</f>
        <v>12</v>
      </c>
      <c r="S67" s="24">
        <f>'Scored Shortlist'!H67</f>
        <v>3</v>
      </c>
      <c r="T67" s="24">
        <f>'Scored Shortlist'!I67</f>
        <v>42</v>
      </c>
      <c r="U67" s="24">
        <f>IF('Scored Shortlist'!M67="none",0,(LEN('Scored Shortlist'!M67)-LEN(SUBSTITUTE('Scored Shortlist'!M67,"&lt;-","")))/2)</f>
        <v>1</v>
      </c>
      <c r="V67" s="24">
        <f t="shared" si="14"/>
        <v>1</v>
      </c>
      <c r="W67" s="24">
        <f t="shared" si="15"/>
        <v>1</v>
      </c>
      <c r="X67" s="24">
        <f t="shared" si="16"/>
        <v>1</v>
      </c>
      <c r="Y67" s="24">
        <f t="shared" si="17"/>
        <v>4</v>
      </c>
      <c r="Z67" s="24">
        <f t="shared" si="18"/>
        <v>4</v>
      </c>
      <c r="AA67" s="24">
        <f t="shared" si="19"/>
        <v>1</v>
      </c>
      <c r="AB67" s="25" t="str">
        <f t="shared" si="20"/>
        <v>OK</v>
      </c>
      <c r="AC67" s="24" t="str">
        <f t="shared" si="21"/>
        <v>Not shortlisted</v>
      </c>
      <c r="AD67" s="24" t="str">
        <f>IF(ISNUMBER(SEARCH(" "&amp;LEFT('Scored Shortlist'!B67,FIND(" ",'Scored Shortlist'!B67)-1)&amp;" "," "&amp;'Scored Shortlist'!N67&amp;" ")),"YES","no")</f>
        <v>no</v>
      </c>
    </row>
    <row r="68" spans="1:30" x14ac:dyDescent="0.25">
      <c r="A68" s="24" t="str">
        <f>'Scored Shortlist'!A68</f>
        <v>CV038</v>
      </c>
      <c r="B68" s="24" t="str">
        <f>'Scored Shortlist'!C68</f>
        <v>JD3</v>
      </c>
      <c r="C68" s="24" t="str">
        <f>INDEX(Resumes!$D$2:$D$101,MATCH(A68,Resumes!$A$2:$A$101,0))</f>
        <v>B.Com</v>
      </c>
      <c r="D68" s="24">
        <f>INDEX(Resumes!$E$2:$E$101,MATCH(A68,Resumes!$A$2:$A$101,0))</f>
        <v>4.0999999999999996</v>
      </c>
      <c r="E68" s="24" t="str">
        <f>INDEX(Resumes!$G$2:$G$101,MATCH(A68,Resumes!$A$2:$A$101,0))</f>
        <v>inventory planning, vendor management, public speaking, employee relations, A/B testing, user research, labour law, HR analytics</v>
      </c>
      <c r="F68" s="24" t="str">
        <f>INDEX(Resumes!$I$2:$I$101,MATCH(A68,Resumes!$A$2:$A$101,0))</f>
        <v>Gurpreet D'Souza, B.Com from a tier-2 institute. 4.1 years of experience, most recently at a manufacturing company. Key skills: inventory planning, vendor management, public speaking, employee relations, A/B testing, user research, labour law, HR analytics. Achievement: built a Power BI sales dashboard used by 30 managers. Career gap: 1-year career break (family).</v>
      </c>
      <c r="G68" s="24" t="str">
        <f t="shared" ref="G68:G99" si="22">MID(F68,FIND("Achievement: ",F68)+13,FIND(". Career gap",F68)-FIND("Achievement: ",F68)-13)</f>
        <v>built a Power BI sales dashboard used by 30 managers</v>
      </c>
      <c r="H68" s="24">
        <f>INDEX('Scoring Prompt'!$C$22:$C$23,MATCH(B68,'Scoring Prompt'!$A$22:$A$23,0))</f>
        <v>2</v>
      </c>
      <c r="I68" s="24">
        <f>INDEX('Scoring Prompt'!$D$22:$D$23,MATCH(B68,'Scoring Prompt'!$A$22:$A$23,0))</f>
        <v>4</v>
      </c>
      <c r="J68" s="24">
        <f>INDEX('Scoring Prompt'!$B$27:$C$34,MATCH(C68,'Scoring Prompt'!$A$27:$A$34,0),MATCH(B68,'Scoring Prompt'!$B$26:$C$26,0))</f>
        <v>8</v>
      </c>
      <c r="K68" s="24">
        <f>IF(AND(D68&gt;=H68,D68&lt;=I68),'Scoring Prompt'!$B$47,IF(D68&lt;H68,IF(H68-D68&lt;=1,'Scoring Prompt'!$B$48,IF(H68-D68&lt;=2,'Scoring Prompt'!$B$49,'Scoring Prompt'!$B$50)),IF(D68-I68&lt;=2,'Scoring Prompt'!$B$51,'Scoring Prompt'!$B$52)))</f>
        <v>20</v>
      </c>
      <c r="L68" s="24">
        <f>IF(B68="JD3",SUMPRODUCT(--ISNUMBER(SEARCH('Scoring Prompt'!$E$22:$I$22,E68))),SUMPRODUCT(--ISNUMBER(SEARCH('Scoring Prompt'!$E$23:$I$23,E68))))</f>
        <v>0</v>
      </c>
      <c r="M68" s="24">
        <f t="shared" ref="M68:M99" si="23">8*L68</f>
        <v>0</v>
      </c>
      <c r="N68" s="24">
        <f>INDEX('Scoring Prompt'!$B$38:$C$43,MATCH(G68,'Scoring Prompt'!$A$38:$A$43,0),MATCH(B68,'Scoring Prompt'!$B$37:$C$37,0))</f>
        <v>10</v>
      </c>
      <c r="O68" s="24">
        <f t="shared" ref="O68:O99" si="24">J68+K68+M68+N68</f>
        <v>38</v>
      </c>
      <c r="P68" s="24">
        <f>'Scored Shortlist'!E68</f>
        <v>8</v>
      </c>
      <c r="Q68" s="24">
        <f>'Scored Shortlist'!F68</f>
        <v>20</v>
      </c>
      <c r="R68" s="24">
        <f>'Scored Shortlist'!G68</f>
        <v>4</v>
      </c>
      <c r="S68" s="24">
        <f>'Scored Shortlist'!H68</f>
        <v>10</v>
      </c>
      <c r="T68" s="24">
        <f>'Scored Shortlist'!I68</f>
        <v>42</v>
      </c>
      <c r="U68" s="24">
        <f>IF('Scored Shortlist'!M68="none",0,(LEN('Scored Shortlist'!M68)-LEN(SUBSTITUTE('Scored Shortlist'!M68,"&lt;-","")))/2)</f>
        <v>1</v>
      </c>
      <c r="V68" s="24">
        <f t="shared" ref="V68:V99" si="25">IF(P68=J68,1,0)</f>
        <v>1</v>
      </c>
      <c r="W68" s="24">
        <f t="shared" ref="W68:W99" si="26">IF(Q68=K68,1,0)</f>
        <v>1</v>
      </c>
      <c r="X68" s="24">
        <f t="shared" ref="X68:X99" si="27">IF(S68=N68,1,0)</f>
        <v>1</v>
      </c>
      <c r="Y68" s="24">
        <f t="shared" ref="Y68:Y99" si="28">R68-M68</f>
        <v>4</v>
      </c>
      <c r="Z68" s="24">
        <f t="shared" ref="Z68:Z99" si="29">4*U68</f>
        <v>4</v>
      </c>
      <c r="AA68" s="24">
        <f t="shared" ref="AA68:AA99" si="30">IF(Y68=Z68,1,0)</f>
        <v>1</v>
      </c>
      <c r="AB68" s="25" t="str">
        <f t="shared" ref="AB68:AB99" si="31">IF(V68+W68+X68+AA68=4,"OK","CHECK")</f>
        <v>OK</v>
      </c>
      <c r="AC68" s="24" t="str">
        <f t="shared" ref="AC68:AC99" si="32">IF(AND(O68&gt;=SL_CUT,M68&gt;=SL_SKILL),"Shortlist",IF(AND(O68&gt;=RV_CUT,M68&gt;=RV_SKILL),"Review","Not shortlisted"))</f>
        <v>Not shortlisted</v>
      </c>
      <c r="AD68" s="24" t="str">
        <f>IF(ISNUMBER(SEARCH(" "&amp;LEFT('Scored Shortlist'!B68,FIND(" ",'Scored Shortlist'!B68)-1)&amp;" "," "&amp;'Scored Shortlist'!N68&amp;" ")),"YES","no")</f>
        <v>no</v>
      </c>
    </row>
    <row r="69" spans="1:30" x14ac:dyDescent="0.25">
      <c r="A69" s="24" t="str">
        <f>'Scored Shortlist'!A69</f>
        <v>CV060</v>
      </c>
      <c r="B69" s="24" t="str">
        <f>'Scored Shortlist'!C69</f>
        <v>JD3</v>
      </c>
      <c r="C69" s="24" t="str">
        <f>INDEX(Resumes!$D$2:$D$101,MATCH(A69,Resumes!$A$2:$A$101,0))</f>
        <v>BBA</v>
      </c>
      <c r="D69" s="24">
        <f>INDEX(Resumes!$E$2:$E$101,MATCH(A69,Resumes!$A$2:$A$101,0))</f>
        <v>3.1</v>
      </c>
      <c r="E69" s="24" t="str">
        <f>INDEX(Resumes!$G$2:$G$101,MATCH(A69,Resumes!$A$2:$A$101,0))</f>
        <v>vendor management, demand forecasting, recruitment, product roadmap, UPI/payments, content writing, Power BI, SEO</v>
      </c>
      <c r="F69" s="24" t="str">
        <f>INDEX(Resumes!$I$2:$I$101,MATCH(A69,Resumes!$A$2:$A$101,0))</f>
        <v>Ishaan Kaur, BBA from a tier-2 institute. 3.1 years of experience, most recently at an IT services firm. Key skills: vendor management, demand forecasting, recruitment, product roadmap, UPI/payments, content writing, Power BI, SEO. Achievement: handled 120 hires in one year. Career gap: None.</v>
      </c>
      <c r="G69" s="24" t="str">
        <f t="shared" si="22"/>
        <v>handled 120 hires in one year</v>
      </c>
      <c r="H69" s="24">
        <f>INDEX('Scoring Prompt'!$C$22:$C$23,MATCH(B69,'Scoring Prompt'!$A$22:$A$23,0))</f>
        <v>2</v>
      </c>
      <c r="I69" s="24">
        <f>INDEX('Scoring Prompt'!$D$22:$D$23,MATCH(B69,'Scoring Prompt'!$A$22:$A$23,0))</f>
        <v>4</v>
      </c>
      <c r="J69" s="24">
        <f>INDEX('Scoring Prompt'!$B$27:$C$34,MATCH(C69,'Scoring Prompt'!$A$27:$A$34,0),MATCH(B69,'Scoring Prompt'!$B$26:$C$26,0))</f>
        <v>6</v>
      </c>
      <c r="K69" s="24">
        <f>IF(AND(D69&gt;=H69,D69&lt;=I69),'Scoring Prompt'!$B$47,IF(D69&lt;H69,IF(H69-D69&lt;=1,'Scoring Prompt'!$B$48,IF(H69-D69&lt;=2,'Scoring Prompt'!$B$49,'Scoring Prompt'!$B$50)),IF(D69-I69&lt;=2,'Scoring Prompt'!$B$51,'Scoring Prompt'!$B$52)))</f>
        <v>25</v>
      </c>
      <c r="L69" s="24">
        <f>IF(B69="JD3",SUMPRODUCT(--ISNUMBER(SEARCH('Scoring Prompt'!$E$22:$I$22,E69))),SUMPRODUCT(--ISNUMBER(SEARCH('Scoring Prompt'!$E$23:$I$23,E69))))</f>
        <v>1</v>
      </c>
      <c r="M69" s="24">
        <f t="shared" si="23"/>
        <v>8</v>
      </c>
      <c r="N69" s="24">
        <f>INDEX('Scoring Prompt'!$B$38:$C$43,MATCH(G69,'Scoring Prompt'!$A$38:$A$43,0),MATCH(B69,'Scoring Prompt'!$B$37:$C$37,0))</f>
        <v>3</v>
      </c>
      <c r="O69" s="24">
        <f t="shared" si="24"/>
        <v>42</v>
      </c>
      <c r="P69" s="24">
        <f>'Scored Shortlist'!E69</f>
        <v>6</v>
      </c>
      <c r="Q69" s="24">
        <f>'Scored Shortlist'!F69</f>
        <v>25</v>
      </c>
      <c r="R69" s="24">
        <f>'Scored Shortlist'!G69</f>
        <v>8</v>
      </c>
      <c r="S69" s="24">
        <f>'Scored Shortlist'!H69</f>
        <v>3</v>
      </c>
      <c r="T69" s="24">
        <f>'Scored Shortlist'!I69</f>
        <v>42</v>
      </c>
      <c r="U69" s="24">
        <f>IF('Scored Shortlist'!M69="none",0,(LEN('Scored Shortlist'!M69)-LEN(SUBSTITUTE('Scored Shortlist'!M69,"&lt;-","")))/2)</f>
        <v>0</v>
      </c>
      <c r="V69" s="24">
        <f t="shared" si="25"/>
        <v>1</v>
      </c>
      <c r="W69" s="24">
        <f t="shared" si="26"/>
        <v>1</v>
      </c>
      <c r="X69" s="24">
        <f t="shared" si="27"/>
        <v>1</v>
      </c>
      <c r="Y69" s="24">
        <f t="shared" si="28"/>
        <v>0</v>
      </c>
      <c r="Z69" s="24">
        <f t="shared" si="29"/>
        <v>0</v>
      </c>
      <c r="AA69" s="24">
        <f t="shared" si="30"/>
        <v>1</v>
      </c>
      <c r="AB69" s="25" t="str">
        <f t="shared" si="31"/>
        <v>OK</v>
      </c>
      <c r="AC69" s="24" t="str">
        <f t="shared" si="32"/>
        <v>Not shortlisted</v>
      </c>
      <c r="AD69" s="24" t="str">
        <f>IF(ISNUMBER(SEARCH(" "&amp;LEFT('Scored Shortlist'!B69,FIND(" ",'Scored Shortlist'!B69)-1)&amp;" "," "&amp;'Scored Shortlist'!N69&amp;" ")),"YES","no")</f>
        <v>no</v>
      </c>
    </row>
    <row r="70" spans="1:30" x14ac:dyDescent="0.25">
      <c r="A70" s="24" t="str">
        <f>'Scored Shortlist'!A70</f>
        <v>CV093</v>
      </c>
      <c r="B70" s="24" t="str">
        <f>'Scored Shortlist'!C70</f>
        <v>JD3</v>
      </c>
      <c r="C70" s="24" t="str">
        <f>INDEX(Resumes!$D$2:$D$101,MATCH(A70,Resumes!$A$2:$A$101,0))</f>
        <v>MBA Marketing</v>
      </c>
      <c r="D70" s="24">
        <f>INDEX(Resumes!$E$2:$E$101,MATCH(A70,Resumes!$A$2:$A$101,0))</f>
        <v>6.8</v>
      </c>
      <c r="E70" s="24" t="str">
        <f>INDEX(Resumes!$G$2:$G$101,MATCH(A70,Resumes!$A$2:$A$101,0))</f>
        <v>SAP MM, public speaking, Tableau, stakeholder management, SEO, agile, UPI/payments</v>
      </c>
      <c r="F70" s="24" t="str">
        <f>INDEX(Resumes!$I$2:$I$101,MATCH(A70,Resumes!$A$2:$A$101,0))</f>
        <v>Sandeep Patil, MBA Marketing from a tier-3 institute. 6.8 years of experience, most recently at an FMCG distributor. Key skills: SAP MM, public speaking, Tableau, stakeholder management, SEO, agile, UPI/payments. Achievement: cut reporting time by 40% by automating Excel reports. Career gap: 6-month gap (exam preparation).</v>
      </c>
      <c r="G70" s="24" t="str">
        <f t="shared" si="22"/>
        <v>cut reporting time by 40% by automating Excel reports</v>
      </c>
      <c r="H70" s="24">
        <f>INDEX('Scoring Prompt'!$C$22:$C$23,MATCH(B70,'Scoring Prompt'!$A$22:$A$23,0))</f>
        <v>2</v>
      </c>
      <c r="I70" s="24">
        <f>INDEX('Scoring Prompt'!$D$22:$D$23,MATCH(B70,'Scoring Prompt'!$A$22:$A$23,0))</f>
        <v>4</v>
      </c>
      <c r="J70" s="24">
        <f>INDEX('Scoring Prompt'!$B$27:$C$34,MATCH(C70,'Scoring Prompt'!$A$27:$A$34,0),MATCH(B70,'Scoring Prompt'!$B$26:$C$26,0))</f>
        <v>12</v>
      </c>
      <c r="K70" s="24">
        <f>IF(AND(D70&gt;=H70,D70&lt;=I70),'Scoring Prompt'!$B$47,IF(D70&lt;H70,IF(H70-D70&lt;=1,'Scoring Prompt'!$B$48,IF(H70-D70&lt;=2,'Scoring Prompt'!$B$49,'Scoring Prompt'!$B$50)),IF(D70-I70&lt;=2,'Scoring Prompt'!$B$51,'Scoring Prompt'!$B$52)))</f>
        <v>12</v>
      </c>
      <c r="L70" s="24">
        <f>IF(B70="JD3",SUMPRODUCT(--ISNUMBER(SEARCH('Scoring Prompt'!$E$22:$I$22,E70))),SUMPRODUCT(--ISNUMBER(SEARCH('Scoring Prompt'!$E$23:$I$23,E70))))</f>
        <v>0</v>
      </c>
      <c r="M70" s="24">
        <f t="shared" si="23"/>
        <v>0</v>
      </c>
      <c r="N70" s="24">
        <f>INDEX('Scoring Prompt'!$B$38:$C$43,MATCH(G70,'Scoring Prompt'!$A$38:$A$43,0),MATCH(B70,'Scoring Prompt'!$B$37:$C$37,0))</f>
        <v>10</v>
      </c>
      <c r="O70" s="24">
        <f t="shared" si="24"/>
        <v>34</v>
      </c>
      <c r="P70" s="24">
        <f>'Scored Shortlist'!E70</f>
        <v>12</v>
      </c>
      <c r="Q70" s="24">
        <f>'Scored Shortlist'!F70</f>
        <v>12</v>
      </c>
      <c r="R70" s="24">
        <f>'Scored Shortlist'!G70</f>
        <v>8</v>
      </c>
      <c r="S70" s="24">
        <f>'Scored Shortlist'!H70</f>
        <v>10</v>
      </c>
      <c r="T70" s="24">
        <f>'Scored Shortlist'!I70</f>
        <v>42</v>
      </c>
      <c r="U70" s="24">
        <f>IF('Scored Shortlist'!M70="none",0,(LEN('Scored Shortlist'!M70)-LEN(SUBSTITUTE('Scored Shortlist'!M70,"&lt;-","")))/2)</f>
        <v>2</v>
      </c>
      <c r="V70" s="24">
        <f t="shared" si="25"/>
        <v>1</v>
      </c>
      <c r="W70" s="24">
        <f t="shared" si="26"/>
        <v>1</v>
      </c>
      <c r="X70" s="24">
        <f t="shared" si="27"/>
        <v>1</v>
      </c>
      <c r="Y70" s="24">
        <f t="shared" si="28"/>
        <v>8</v>
      </c>
      <c r="Z70" s="24">
        <f t="shared" si="29"/>
        <v>8</v>
      </c>
      <c r="AA70" s="24">
        <f t="shared" si="30"/>
        <v>1</v>
      </c>
      <c r="AB70" s="25" t="str">
        <f t="shared" si="31"/>
        <v>OK</v>
      </c>
      <c r="AC70" s="24" t="str">
        <f t="shared" si="32"/>
        <v>Not shortlisted</v>
      </c>
      <c r="AD70" s="24" t="str">
        <f>IF(ISNUMBER(SEARCH(" "&amp;LEFT('Scored Shortlist'!B70,FIND(" ",'Scored Shortlist'!B70)-1)&amp;" "," "&amp;'Scored Shortlist'!N70&amp;" ")),"YES","no")</f>
        <v>no</v>
      </c>
    </row>
    <row r="71" spans="1:30" x14ac:dyDescent="0.25">
      <c r="A71" s="24" t="str">
        <f>'Scored Shortlist'!A71</f>
        <v>CV098</v>
      </c>
      <c r="B71" s="24" t="str">
        <f>'Scored Shortlist'!C71</f>
        <v>JD3</v>
      </c>
      <c r="C71" s="24" t="str">
        <f>INDEX(Resumes!$D$2:$D$101,MATCH(A71,Resumes!$A$2:$A$101,0))</f>
        <v>MBA HR</v>
      </c>
      <c r="D71" s="24">
        <f>INDEX(Resumes!$E$2:$E$101,MATCH(A71,Resumes!$A$2:$A$101,0))</f>
        <v>1.8</v>
      </c>
      <c r="E71" s="24" t="str">
        <f>INDEX(Resumes!$G$2:$G$101,MATCH(A71,Resumes!$A$2:$A$101,0))</f>
        <v>financial modelling, content writing, inventory planning, Tableau, public speaking</v>
      </c>
      <c r="F71" s="24" t="str">
        <f>INDEX(Resumes!$I$2:$I$101,MATCH(A71,Resumes!$A$2:$A$101,0))</f>
        <v>Harleen Joshi, MBA HR from a tier-3 institute. 1.8 years of experience, most recently at a manufacturing company. Key skills: financial modelling, content writing, inventory planning, Tableau, public speaking. Achievement: handled 120 hires in one year. Career gap: None.</v>
      </c>
      <c r="G71" s="24" t="str">
        <f t="shared" si="22"/>
        <v>handled 120 hires in one year</v>
      </c>
      <c r="H71" s="24">
        <f>INDEX('Scoring Prompt'!$C$22:$C$23,MATCH(B71,'Scoring Prompt'!$A$22:$A$23,0))</f>
        <v>2</v>
      </c>
      <c r="I71" s="24">
        <f>INDEX('Scoring Prompt'!$D$22:$D$23,MATCH(B71,'Scoring Prompt'!$A$22:$A$23,0))</f>
        <v>4</v>
      </c>
      <c r="J71" s="24">
        <f>INDEX('Scoring Prompt'!$B$27:$C$34,MATCH(C71,'Scoring Prompt'!$A$27:$A$34,0),MATCH(B71,'Scoring Prompt'!$B$26:$C$26,0))</f>
        <v>12</v>
      </c>
      <c r="K71" s="24">
        <f>IF(AND(D71&gt;=H71,D71&lt;=I71),'Scoring Prompt'!$B$47,IF(D71&lt;H71,IF(H71-D71&lt;=1,'Scoring Prompt'!$B$48,IF(H71-D71&lt;=2,'Scoring Prompt'!$B$49,'Scoring Prompt'!$B$50)),IF(D71-I71&lt;=2,'Scoring Prompt'!$B$51,'Scoring Prompt'!$B$52)))</f>
        <v>15</v>
      </c>
      <c r="L71" s="24">
        <f>IF(B71="JD3",SUMPRODUCT(--ISNUMBER(SEARCH('Scoring Prompt'!$E$22:$I$22,E71))),SUMPRODUCT(--ISNUMBER(SEARCH('Scoring Prompt'!$E$23:$I$23,E71))))</f>
        <v>1</v>
      </c>
      <c r="M71" s="24">
        <f t="shared" si="23"/>
        <v>8</v>
      </c>
      <c r="N71" s="24">
        <f>INDEX('Scoring Prompt'!$B$38:$C$43,MATCH(G71,'Scoring Prompt'!$A$38:$A$43,0),MATCH(B71,'Scoring Prompt'!$B$37:$C$37,0))</f>
        <v>3</v>
      </c>
      <c r="O71" s="24">
        <f t="shared" si="24"/>
        <v>38</v>
      </c>
      <c r="P71" s="24">
        <f>'Scored Shortlist'!E71</f>
        <v>12</v>
      </c>
      <c r="Q71" s="24">
        <f>'Scored Shortlist'!F71</f>
        <v>15</v>
      </c>
      <c r="R71" s="24">
        <f>'Scored Shortlist'!G71</f>
        <v>12</v>
      </c>
      <c r="S71" s="24">
        <f>'Scored Shortlist'!H71</f>
        <v>3</v>
      </c>
      <c r="T71" s="24">
        <f>'Scored Shortlist'!I71</f>
        <v>42</v>
      </c>
      <c r="U71" s="24">
        <f>IF('Scored Shortlist'!M71="none",0,(LEN('Scored Shortlist'!M71)-LEN(SUBSTITUTE('Scored Shortlist'!M71,"&lt;-","")))/2)</f>
        <v>1</v>
      </c>
      <c r="V71" s="24">
        <f t="shared" si="25"/>
        <v>1</v>
      </c>
      <c r="W71" s="24">
        <f t="shared" si="26"/>
        <v>1</v>
      </c>
      <c r="X71" s="24">
        <f t="shared" si="27"/>
        <v>1</v>
      </c>
      <c r="Y71" s="24">
        <f t="shared" si="28"/>
        <v>4</v>
      </c>
      <c r="Z71" s="24">
        <f t="shared" si="29"/>
        <v>4</v>
      </c>
      <c r="AA71" s="24">
        <f t="shared" si="30"/>
        <v>1</v>
      </c>
      <c r="AB71" s="25" t="str">
        <f t="shared" si="31"/>
        <v>OK</v>
      </c>
      <c r="AC71" s="24" t="str">
        <f t="shared" si="32"/>
        <v>Not shortlisted</v>
      </c>
      <c r="AD71" s="24" t="str">
        <f>IF(ISNUMBER(SEARCH(" "&amp;LEFT('Scored Shortlist'!B71,FIND(" ",'Scored Shortlist'!B71)-1)&amp;" "," "&amp;'Scored Shortlist'!N71&amp;" ")),"YES","no")</f>
        <v>no</v>
      </c>
    </row>
    <row r="72" spans="1:30" x14ac:dyDescent="0.25">
      <c r="A72" s="24" t="str">
        <f>'Scored Shortlist'!A72</f>
        <v>CV023</v>
      </c>
      <c r="B72" s="24" t="str">
        <f>'Scored Shortlist'!C72</f>
        <v>JD3</v>
      </c>
      <c r="C72" s="24" t="str">
        <f>INDEX(Resumes!$D$2:$D$101,MATCH(A72,Resumes!$A$2:$A$101,0))</f>
        <v>MBA Finance</v>
      </c>
      <c r="D72" s="24">
        <f>INDEX(Resumes!$E$2:$E$101,MATCH(A72,Resumes!$A$2:$A$101,0))</f>
        <v>0.1</v>
      </c>
      <c r="E72" s="24" t="str">
        <f>INDEX(Resumes!$G$2:$G$101,MATCH(A72,Resumes!$A$2:$A$101,0))</f>
        <v>SEO, financial modelling, SQL, recruitment</v>
      </c>
      <c r="F72" s="24" t="str">
        <f>INDEX(Resumes!$I$2:$I$101,MATCH(A72,Resumes!$A$2:$A$101,0))</f>
        <v>Suresh Kaur, MBA Finance from a tier-3 institute. 0.1 years of experience, most recently at an IT services firm. Key skills: SEO, financial modelling, SQL, recruitment. Achievement: no major achievement listed. Career gap: None.</v>
      </c>
      <c r="G72" s="24" t="str">
        <f t="shared" si="22"/>
        <v>no major achievement listed</v>
      </c>
      <c r="H72" s="24">
        <f>INDEX('Scoring Prompt'!$C$22:$C$23,MATCH(B72,'Scoring Prompt'!$A$22:$A$23,0))</f>
        <v>2</v>
      </c>
      <c r="I72" s="24">
        <f>INDEX('Scoring Prompt'!$D$22:$D$23,MATCH(B72,'Scoring Prompt'!$A$22:$A$23,0))</f>
        <v>4</v>
      </c>
      <c r="J72" s="24">
        <f>INDEX('Scoring Prompt'!$B$27:$C$34,MATCH(C72,'Scoring Prompt'!$A$27:$A$34,0),MATCH(B72,'Scoring Prompt'!$B$26:$C$26,0))</f>
        <v>25</v>
      </c>
      <c r="K72" s="24">
        <f>IF(AND(D72&gt;=H72,D72&lt;=I72),'Scoring Prompt'!$B$47,IF(D72&lt;H72,IF(H72-D72&lt;=1,'Scoring Prompt'!$B$48,IF(H72-D72&lt;=2,'Scoring Prompt'!$B$49,'Scoring Prompt'!$B$50)),IF(D72-I72&lt;=2,'Scoring Prompt'!$B$51,'Scoring Prompt'!$B$52)))</f>
        <v>8</v>
      </c>
      <c r="L72" s="24">
        <f>IF(B72="JD3",SUMPRODUCT(--ISNUMBER(SEARCH('Scoring Prompt'!$E$22:$I$22,E72))),SUMPRODUCT(--ISNUMBER(SEARCH('Scoring Prompt'!$E$23:$I$23,E72))))</f>
        <v>1</v>
      </c>
      <c r="M72" s="24">
        <f t="shared" si="23"/>
        <v>8</v>
      </c>
      <c r="N72" s="24">
        <f>INDEX('Scoring Prompt'!$B$38:$C$43,MATCH(G72,'Scoring Prompt'!$A$38:$A$43,0),MATCH(B72,'Scoring Prompt'!$B$37:$C$37,0))</f>
        <v>0</v>
      </c>
      <c r="O72" s="24">
        <f t="shared" si="24"/>
        <v>41</v>
      </c>
      <c r="P72" s="24">
        <f>'Scored Shortlist'!E72</f>
        <v>25</v>
      </c>
      <c r="Q72" s="24">
        <f>'Scored Shortlist'!F72</f>
        <v>8</v>
      </c>
      <c r="R72" s="24">
        <f>'Scored Shortlist'!G72</f>
        <v>8</v>
      </c>
      <c r="S72" s="24">
        <f>'Scored Shortlist'!H72</f>
        <v>0</v>
      </c>
      <c r="T72" s="24">
        <f>'Scored Shortlist'!I72</f>
        <v>41</v>
      </c>
      <c r="U72" s="24">
        <f>IF('Scored Shortlist'!M72="none",0,(LEN('Scored Shortlist'!M72)-LEN(SUBSTITUTE('Scored Shortlist'!M72,"&lt;-","")))/2)</f>
        <v>0</v>
      </c>
      <c r="V72" s="24">
        <f t="shared" si="25"/>
        <v>1</v>
      </c>
      <c r="W72" s="24">
        <f t="shared" si="26"/>
        <v>1</v>
      </c>
      <c r="X72" s="24">
        <f t="shared" si="27"/>
        <v>1</v>
      </c>
      <c r="Y72" s="24">
        <f t="shared" si="28"/>
        <v>0</v>
      </c>
      <c r="Z72" s="24">
        <f t="shared" si="29"/>
        <v>0</v>
      </c>
      <c r="AA72" s="24">
        <f t="shared" si="30"/>
        <v>1</v>
      </c>
      <c r="AB72" s="25" t="str">
        <f t="shared" si="31"/>
        <v>OK</v>
      </c>
      <c r="AC72" s="24" t="str">
        <f t="shared" si="32"/>
        <v>Not shortlisted</v>
      </c>
      <c r="AD72" s="24" t="str">
        <f>IF(ISNUMBER(SEARCH(" "&amp;LEFT('Scored Shortlist'!B72,FIND(" ",'Scored Shortlist'!B72)-1)&amp;" "," "&amp;'Scored Shortlist'!N72&amp;" ")),"YES","no")</f>
        <v>no</v>
      </c>
    </row>
    <row r="73" spans="1:30" x14ac:dyDescent="0.25">
      <c r="A73" s="24" t="str">
        <f>'Scored Shortlist'!A73</f>
        <v>CV024</v>
      </c>
      <c r="B73" s="24" t="str">
        <f>'Scored Shortlist'!C73</f>
        <v>JD3</v>
      </c>
      <c r="C73" s="24" t="str">
        <f>INDEX(Resumes!$D$2:$D$101,MATCH(A73,Resumes!$A$2:$A$101,0))</f>
        <v>BBA</v>
      </c>
      <c r="D73" s="24">
        <f>INDEX(Resumes!$E$2:$E$101,MATCH(A73,Resumes!$A$2:$A$101,0))</f>
        <v>4.4000000000000004</v>
      </c>
      <c r="E73" s="24" t="str">
        <f>INDEX(Resumes!$G$2:$G$101,MATCH(A73,Resumes!$A$2:$A$101,0))</f>
        <v>SQL, valuation, product roadmap, vendor management, Tableau</v>
      </c>
      <c r="F73" s="24" t="str">
        <f>INDEX(Resumes!$I$2:$I$101,MATCH(A73,Resumes!$A$2:$A$101,0))</f>
        <v>Anjali Mehta, BBA from a tier-2 institute. 4.4 years of experience, most recently at a manufacturing company. Key skills: SQL, valuation, product roadmap, vendor management, Tableau. Achievement: led a 5-member campus marketing team. Career gap: 1-year career break (family).</v>
      </c>
      <c r="G73" s="24" t="str">
        <f t="shared" si="22"/>
        <v>led a 5-member campus marketing team</v>
      </c>
      <c r="H73" s="24">
        <f>INDEX('Scoring Prompt'!$C$22:$C$23,MATCH(B73,'Scoring Prompt'!$A$22:$A$23,0))</f>
        <v>2</v>
      </c>
      <c r="I73" s="24">
        <f>INDEX('Scoring Prompt'!$D$22:$D$23,MATCH(B73,'Scoring Prompt'!$A$22:$A$23,0))</f>
        <v>4</v>
      </c>
      <c r="J73" s="24">
        <f>INDEX('Scoring Prompt'!$B$27:$C$34,MATCH(C73,'Scoring Prompt'!$A$27:$A$34,0),MATCH(B73,'Scoring Prompt'!$B$26:$C$26,0))</f>
        <v>6</v>
      </c>
      <c r="K73" s="24">
        <f>IF(AND(D73&gt;=H73,D73&lt;=I73),'Scoring Prompt'!$B$47,IF(D73&lt;H73,IF(H73-D73&lt;=1,'Scoring Prompt'!$B$48,IF(H73-D73&lt;=2,'Scoring Prompt'!$B$49,'Scoring Prompt'!$B$50)),IF(D73-I73&lt;=2,'Scoring Prompt'!$B$51,'Scoring Prompt'!$B$52)))</f>
        <v>20</v>
      </c>
      <c r="L73" s="24">
        <f>IF(B73="JD3",SUMPRODUCT(--ISNUMBER(SEARCH('Scoring Prompt'!$E$22:$I$22,E73))),SUMPRODUCT(--ISNUMBER(SEARCH('Scoring Prompt'!$E$23:$I$23,E73))))</f>
        <v>1</v>
      </c>
      <c r="M73" s="24">
        <f t="shared" si="23"/>
        <v>8</v>
      </c>
      <c r="N73" s="24">
        <f>INDEX('Scoring Prompt'!$B$38:$C$43,MATCH(G73,'Scoring Prompt'!$A$38:$A$43,0),MATCH(B73,'Scoring Prompt'!$B$37:$C$37,0))</f>
        <v>3</v>
      </c>
      <c r="O73" s="24">
        <f t="shared" si="24"/>
        <v>37</v>
      </c>
      <c r="P73" s="24">
        <f>'Scored Shortlist'!E73</f>
        <v>6</v>
      </c>
      <c r="Q73" s="24">
        <f>'Scored Shortlist'!F73</f>
        <v>20</v>
      </c>
      <c r="R73" s="24">
        <f>'Scored Shortlist'!G73</f>
        <v>12</v>
      </c>
      <c r="S73" s="24">
        <f>'Scored Shortlist'!H73</f>
        <v>3</v>
      </c>
      <c r="T73" s="24">
        <f>'Scored Shortlist'!I73</f>
        <v>41</v>
      </c>
      <c r="U73" s="24">
        <f>IF('Scored Shortlist'!M73="none",0,(LEN('Scored Shortlist'!M73)-LEN(SUBSTITUTE('Scored Shortlist'!M73,"&lt;-","")))/2)</f>
        <v>1</v>
      </c>
      <c r="V73" s="24">
        <f t="shared" si="25"/>
        <v>1</v>
      </c>
      <c r="W73" s="24">
        <f t="shared" si="26"/>
        <v>1</v>
      </c>
      <c r="X73" s="24">
        <f t="shared" si="27"/>
        <v>1</v>
      </c>
      <c r="Y73" s="24">
        <f t="shared" si="28"/>
        <v>4</v>
      </c>
      <c r="Z73" s="24">
        <f t="shared" si="29"/>
        <v>4</v>
      </c>
      <c r="AA73" s="24">
        <f t="shared" si="30"/>
        <v>1</v>
      </c>
      <c r="AB73" s="25" t="str">
        <f t="shared" si="31"/>
        <v>OK</v>
      </c>
      <c r="AC73" s="24" t="str">
        <f t="shared" si="32"/>
        <v>Not shortlisted</v>
      </c>
      <c r="AD73" s="24" t="str">
        <f>IF(ISNUMBER(SEARCH(" "&amp;LEFT('Scored Shortlist'!B73,FIND(" ",'Scored Shortlist'!B73)-1)&amp;" "," "&amp;'Scored Shortlist'!N73&amp;" ")),"YES","no")</f>
        <v>no</v>
      </c>
    </row>
    <row r="74" spans="1:30" x14ac:dyDescent="0.25">
      <c r="A74" s="24" t="str">
        <f>'Scored Shortlist'!A74</f>
        <v>CV033</v>
      </c>
      <c r="B74" s="24" t="str">
        <f>'Scored Shortlist'!C74</f>
        <v>JD3</v>
      </c>
      <c r="C74" s="24" t="str">
        <f>INDEX(Resumes!$D$2:$D$101,MATCH(A74,Resumes!$A$2:$A$101,0))</f>
        <v>MBA HR</v>
      </c>
      <c r="D74" s="24">
        <f>INDEX(Resumes!$E$2:$E$101,MATCH(A74,Resumes!$A$2:$A$101,0))</f>
        <v>3.9</v>
      </c>
      <c r="E74" s="24" t="str">
        <f>INDEX(Resumes!$G$2:$G$101,MATCH(A74,Resumes!$A$2:$A$101,0))</f>
        <v>Google Analytics, content writing, agile, Python, labour law, negotiation</v>
      </c>
      <c r="F74" s="24" t="str">
        <f>INDEX(Resumes!$I$2:$I$101,MATCH(A74,Resumes!$A$2:$A$101,0))</f>
        <v>Aditya Banerjee, MBA HR from a tier-2 institute. 3.9 years of experience, most recently at a retail chain. Key skills: Google Analytics, content writing, agile, Python, labour law, negotiation. Achievement: led a 5-member campus marketing team. Career gap: None.</v>
      </c>
      <c r="G74" s="24" t="str">
        <f t="shared" si="22"/>
        <v>led a 5-member campus marketing team</v>
      </c>
      <c r="H74" s="24">
        <f>INDEX('Scoring Prompt'!$C$22:$C$23,MATCH(B74,'Scoring Prompt'!$A$22:$A$23,0))</f>
        <v>2</v>
      </c>
      <c r="I74" s="24">
        <f>INDEX('Scoring Prompt'!$D$22:$D$23,MATCH(B74,'Scoring Prompt'!$A$22:$A$23,0))</f>
        <v>4</v>
      </c>
      <c r="J74" s="24">
        <f>INDEX('Scoring Prompt'!$B$27:$C$34,MATCH(C74,'Scoring Prompt'!$A$27:$A$34,0),MATCH(B74,'Scoring Prompt'!$B$26:$C$26,0))</f>
        <v>12</v>
      </c>
      <c r="K74" s="24">
        <f>IF(AND(D74&gt;=H74,D74&lt;=I74),'Scoring Prompt'!$B$47,IF(D74&lt;H74,IF(H74-D74&lt;=1,'Scoring Prompt'!$B$48,IF(H74-D74&lt;=2,'Scoring Prompt'!$B$49,'Scoring Prompt'!$B$50)),IF(D74-I74&lt;=2,'Scoring Prompt'!$B$51,'Scoring Prompt'!$B$52)))</f>
        <v>25</v>
      </c>
      <c r="L74" s="24">
        <f>IF(B74="JD3",SUMPRODUCT(--ISNUMBER(SEARCH('Scoring Prompt'!$E$22:$I$22,E74))),SUMPRODUCT(--ISNUMBER(SEARCH('Scoring Prompt'!$E$23:$I$23,E74))))</f>
        <v>0</v>
      </c>
      <c r="M74" s="24">
        <f t="shared" si="23"/>
        <v>0</v>
      </c>
      <c r="N74" s="24">
        <f>INDEX('Scoring Prompt'!$B$38:$C$43,MATCH(G74,'Scoring Prompt'!$A$38:$A$43,0),MATCH(B74,'Scoring Prompt'!$B$37:$C$37,0))</f>
        <v>3</v>
      </c>
      <c r="O74" s="24">
        <f t="shared" si="24"/>
        <v>40</v>
      </c>
      <c r="P74" s="24">
        <f>'Scored Shortlist'!E74</f>
        <v>12</v>
      </c>
      <c r="Q74" s="24">
        <f>'Scored Shortlist'!F74</f>
        <v>25</v>
      </c>
      <c r="R74" s="24">
        <f>'Scored Shortlist'!G74</f>
        <v>0</v>
      </c>
      <c r="S74" s="24">
        <f>'Scored Shortlist'!H74</f>
        <v>3</v>
      </c>
      <c r="T74" s="24">
        <f>'Scored Shortlist'!I74</f>
        <v>40</v>
      </c>
      <c r="U74" s="24">
        <f>IF('Scored Shortlist'!M74="none",0,(LEN('Scored Shortlist'!M74)-LEN(SUBSTITUTE('Scored Shortlist'!M74,"&lt;-","")))/2)</f>
        <v>0</v>
      </c>
      <c r="V74" s="24">
        <f t="shared" si="25"/>
        <v>1</v>
      </c>
      <c r="W74" s="24">
        <f t="shared" si="26"/>
        <v>1</v>
      </c>
      <c r="X74" s="24">
        <f t="shared" si="27"/>
        <v>1</v>
      </c>
      <c r="Y74" s="24">
        <f t="shared" si="28"/>
        <v>0</v>
      </c>
      <c r="Z74" s="24">
        <f t="shared" si="29"/>
        <v>0</v>
      </c>
      <c r="AA74" s="24">
        <f t="shared" si="30"/>
        <v>1</v>
      </c>
      <c r="AB74" s="25" t="str">
        <f t="shared" si="31"/>
        <v>OK</v>
      </c>
      <c r="AC74" s="24" t="str">
        <f t="shared" si="32"/>
        <v>Not shortlisted</v>
      </c>
      <c r="AD74" s="24" t="str">
        <f>IF(ISNUMBER(SEARCH(" "&amp;LEFT('Scored Shortlist'!B74,FIND(" ",'Scored Shortlist'!B74)-1)&amp;" "," "&amp;'Scored Shortlist'!N74&amp;" ")),"YES","no")</f>
        <v>no</v>
      </c>
    </row>
    <row r="75" spans="1:30" x14ac:dyDescent="0.25">
      <c r="A75" s="24" t="str">
        <f>'Scored Shortlist'!A75</f>
        <v>CV045</v>
      </c>
      <c r="B75" s="24" t="str">
        <f>'Scored Shortlist'!C75</f>
        <v>JD3</v>
      </c>
      <c r="C75" s="24" t="str">
        <f>INDEX(Resumes!$D$2:$D$101,MATCH(A75,Resumes!$A$2:$A$101,0))</f>
        <v>CA</v>
      </c>
      <c r="D75" s="24">
        <f>INDEX(Resumes!$E$2:$E$101,MATCH(A75,Resumes!$A$2:$A$101,0))</f>
        <v>1.7</v>
      </c>
      <c r="E75" s="24" t="str">
        <f>INDEX(Resumes!$G$2:$G$101,MATCH(A75,Resumes!$A$2:$A$101,0))</f>
        <v>SAP MM, campaign management, Python, content writing, employee relations, agile</v>
      </c>
      <c r="F75" s="24" t="str">
        <f>INDEX(Resumes!$I$2:$I$101,MATCH(A75,Resumes!$A$2:$A$101,0))</f>
        <v>Pooja Das, CA from a tier-2 institute. 1.7 years of experience, most recently at a retail chain. Key skills: SAP MM, campaign management, Python, content writing, employee relations, agile. Achievement: no major achievement listed. Career gap: 6-month gap (exam preparation).</v>
      </c>
      <c r="G75" s="24" t="str">
        <f t="shared" si="22"/>
        <v>no major achievement listed</v>
      </c>
      <c r="H75" s="24">
        <f>INDEX('Scoring Prompt'!$C$22:$C$23,MATCH(B75,'Scoring Prompt'!$A$22:$A$23,0))</f>
        <v>2</v>
      </c>
      <c r="I75" s="24">
        <f>INDEX('Scoring Prompt'!$D$22:$D$23,MATCH(B75,'Scoring Prompt'!$A$22:$A$23,0))</f>
        <v>4</v>
      </c>
      <c r="J75" s="24">
        <f>INDEX('Scoring Prompt'!$B$27:$C$34,MATCH(C75,'Scoring Prompt'!$A$27:$A$34,0),MATCH(B75,'Scoring Prompt'!$B$26:$C$26,0))</f>
        <v>25</v>
      </c>
      <c r="K75" s="24">
        <f>IF(AND(D75&gt;=H75,D75&lt;=I75),'Scoring Prompt'!$B$47,IF(D75&lt;H75,IF(H75-D75&lt;=1,'Scoring Prompt'!$B$48,IF(H75-D75&lt;=2,'Scoring Prompt'!$B$49,'Scoring Prompt'!$B$50)),IF(D75-I75&lt;=2,'Scoring Prompt'!$B$51,'Scoring Prompt'!$B$52)))</f>
        <v>15</v>
      </c>
      <c r="L75" s="24">
        <f>IF(B75="JD3",SUMPRODUCT(--ISNUMBER(SEARCH('Scoring Prompt'!$E$22:$I$22,E75))),SUMPRODUCT(--ISNUMBER(SEARCH('Scoring Prompt'!$E$23:$I$23,E75))))</f>
        <v>0</v>
      </c>
      <c r="M75" s="24">
        <f t="shared" si="23"/>
        <v>0</v>
      </c>
      <c r="N75" s="24">
        <f>INDEX('Scoring Prompt'!$B$38:$C$43,MATCH(G75,'Scoring Prompt'!$A$38:$A$43,0),MATCH(B75,'Scoring Prompt'!$B$37:$C$37,0))</f>
        <v>0</v>
      </c>
      <c r="O75" s="24">
        <f t="shared" si="24"/>
        <v>40</v>
      </c>
      <c r="P75" s="24">
        <f>'Scored Shortlist'!E75</f>
        <v>25</v>
      </c>
      <c r="Q75" s="24">
        <f>'Scored Shortlist'!F75</f>
        <v>15</v>
      </c>
      <c r="R75" s="24">
        <f>'Scored Shortlist'!G75</f>
        <v>0</v>
      </c>
      <c r="S75" s="24">
        <f>'Scored Shortlist'!H75</f>
        <v>0</v>
      </c>
      <c r="T75" s="24">
        <f>'Scored Shortlist'!I75</f>
        <v>40</v>
      </c>
      <c r="U75" s="24">
        <f>IF('Scored Shortlist'!M75="none",0,(LEN('Scored Shortlist'!M75)-LEN(SUBSTITUTE('Scored Shortlist'!M75,"&lt;-","")))/2)</f>
        <v>0</v>
      </c>
      <c r="V75" s="24">
        <f t="shared" si="25"/>
        <v>1</v>
      </c>
      <c r="W75" s="24">
        <f t="shared" si="26"/>
        <v>1</v>
      </c>
      <c r="X75" s="24">
        <f t="shared" si="27"/>
        <v>1</v>
      </c>
      <c r="Y75" s="24">
        <f t="shared" si="28"/>
        <v>0</v>
      </c>
      <c r="Z75" s="24">
        <f t="shared" si="29"/>
        <v>0</v>
      </c>
      <c r="AA75" s="24">
        <f t="shared" si="30"/>
        <v>1</v>
      </c>
      <c r="AB75" s="25" t="str">
        <f t="shared" si="31"/>
        <v>OK</v>
      </c>
      <c r="AC75" s="24" t="str">
        <f t="shared" si="32"/>
        <v>Not shortlisted</v>
      </c>
      <c r="AD75" s="24" t="str">
        <f>IF(ISNUMBER(SEARCH(" "&amp;LEFT('Scored Shortlist'!B75,FIND(" ",'Scored Shortlist'!B75)-1)&amp;" "," "&amp;'Scored Shortlist'!N75&amp;" ")),"YES","no")</f>
        <v>no</v>
      </c>
    </row>
    <row r="76" spans="1:30" x14ac:dyDescent="0.25">
      <c r="A76" s="24" t="str">
        <f>'Scored Shortlist'!A76</f>
        <v>CV086</v>
      </c>
      <c r="B76" s="24" t="str">
        <f>'Scored Shortlist'!C76</f>
        <v>JD3</v>
      </c>
      <c r="C76" s="24" t="str">
        <f>INDEX(Resumes!$D$2:$D$101,MATCH(A76,Resumes!$A$2:$A$101,0))</f>
        <v>B.Tech + MBA</v>
      </c>
      <c r="D76" s="24">
        <f>INDEX(Resumes!$E$2:$E$101,MATCH(A76,Resumes!$A$2:$A$101,0))</f>
        <v>5.4</v>
      </c>
      <c r="E76" s="24" t="str">
        <f>INDEX(Resumes!$G$2:$G$101,MATCH(A76,Resumes!$A$2:$A$101,0))</f>
        <v>Tableau, SQL, product roadmap, agile</v>
      </c>
      <c r="F76" s="24" t="str">
        <f>INDEX(Resumes!$I$2:$I$101,MATCH(A76,Resumes!$A$2:$A$101,0))</f>
        <v>Simran Reddy, B.Tech + MBA from a tier-2 institute. 5.4 years of experience, most recently at a fintech start-up. Key skills: Tableau, SQL, product roadmap, agile. Achievement: improved vendor on-time delivery from 78% to 92%. Career gap: None.</v>
      </c>
      <c r="G76" s="24" t="str">
        <f t="shared" si="22"/>
        <v>improved vendor on-time delivery from 78% to 92%</v>
      </c>
      <c r="H76" s="24">
        <f>INDEX('Scoring Prompt'!$C$22:$C$23,MATCH(B76,'Scoring Prompt'!$A$22:$A$23,0))</f>
        <v>2</v>
      </c>
      <c r="I76" s="24">
        <f>INDEX('Scoring Prompt'!$D$22:$D$23,MATCH(B76,'Scoring Prompt'!$A$22:$A$23,0))</f>
        <v>4</v>
      </c>
      <c r="J76" s="24">
        <f>INDEX('Scoring Prompt'!$B$27:$C$34,MATCH(C76,'Scoring Prompt'!$A$27:$A$34,0),MATCH(B76,'Scoring Prompt'!$B$26:$C$26,0))</f>
        <v>12</v>
      </c>
      <c r="K76" s="24">
        <f>IF(AND(D76&gt;=H76,D76&lt;=I76),'Scoring Prompt'!$B$47,IF(D76&lt;H76,IF(H76-D76&lt;=1,'Scoring Prompt'!$B$48,IF(H76-D76&lt;=2,'Scoring Prompt'!$B$49,'Scoring Prompt'!$B$50)),IF(D76-I76&lt;=2,'Scoring Prompt'!$B$51,'Scoring Prompt'!$B$52)))</f>
        <v>20</v>
      </c>
      <c r="L76" s="24">
        <f>IF(B76="JD3",SUMPRODUCT(--ISNUMBER(SEARCH('Scoring Prompt'!$E$22:$I$22,E76))),SUMPRODUCT(--ISNUMBER(SEARCH('Scoring Prompt'!$E$23:$I$23,E76))))</f>
        <v>0</v>
      </c>
      <c r="M76" s="24">
        <f t="shared" si="23"/>
        <v>0</v>
      </c>
      <c r="N76" s="24">
        <f>INDEX('Scoring Prompt'!$B$38:$C$43,MATCH(G76,'Scoring Prompt'!$A$38:$A$43,0),MATCH(B76,'Scoring Prompt'!$B$37:$C$37,0))</f>
        <v>4</v>
      </c>
      <c r="O76" s="24">
        <f t="shared" si="24"/>
        <v>36</v>
      </c>
      <c r="P76" s="24">
        <f>'Scored Shortlist'!E76</f>
        <v>12</v>
      </c>
      <c r="Q76" s="24">
        <f>'Scored Shortlist'!F76</f>
        <v>20</v>
      </c>
      <c r="R76" s="24">
        <f>'Scored Shortlist'!G76</f>
        <v>4</v>
      </c>
      <c r="S76" s="24">
        <f>'Scored Shortlist'!H76</f>
        <v>4</v>
      </c>
      <c r="T76" s="24">
        <f>'Scored Shortlist'!I76</f>
        <v>40</v>
      </c>
      <c r="U76" s="24">
        <f>IF('Scored Shortlist'!M76="none",0,(LEN('Scored Shortlist'!M76)-LEN(SUBSTITUTE('Scored Shortlist'!M76,"&lt;-","")))/2)</f>
        <v>1</v>
      </c>
      <c r="V76" s="24">
        <f t="shared" si="25"/>
        <v>1</v>
      </c>
      <c r="W76" s="24">
        <f t="shared" si="26"/>
        <v>1</v>
      </c>
      <c r="X76" s="24">
        <f t="shared" si="27"/>
        <v>1</v>
      </c>
      <c r="Y76" s="24">
        <f t="shared" si="28"/>
        <v>4</v>
      </c>
      <c r="Z76" s="24">
        <f t="shared" si="29"/>
        <v>4</v>
      </c>
      <c r="AA76" s="24">
        <f t="shared" si="30"/>
        <v>1</v>
      </c>
      <c r="AB76" s="25" t="str">
        <f t="shared" si="31"/>
        <v>OK</v>
      </c>
      <c r="AC76" s="24" t="str">
        <f t="shared" si="32"/>
        <v>Not shortlisted</v>
      </c>
      <c r="AD76" s="24" t="str">
        <f>IF(ISNUMBER(SEARCH(" "&amp;LEFT('Scored Shortlist'!B76,FIND(" ",'Scored Shortlist'!B76)-1)&amp;" "," "&amp;'Scored Shortlist'!N76&amp;" ")),"YES","no")</f>
        <v>no</v>
      </c>
    </row>
    <row r="77" spans="1:30" x14ac:dyDescent="0.25">
      <c r="A77" s="24" t="str">
        <f>'Scored Shortlist'!A77</f>
        <v>CV097</v>
      </c>
      <c r="B77" s="24" t="str">
        <f>'Scored Shortlist'!C77</f>
        <v>JD3</v>
      </c>
      <c r="C77" s="24" t="str">
        <f>INDEX(Resumes!$D$2:$D$101,MATCH(A77,Resumes!$A$2:$A$101,0))</f>
        <v>B.Com</v>
      </c>
      <c r="D77" s="24">
        <f>INDEX(Resumes!$E$2:$E$101,MATCH(A77,Resumes!$A$2:$A$101,0))</f>
        <v>7.9</v>
      </c>
      <c r="E77" s="24" t="str">
        <f>INDEX(Resumes!$G$2:$G$101,MATCH(A77,Resumes!$A$2:$A$101,0))</f>
        <v>valuation, inventory planning, financial modelling, employee relations, SQL</v>
      </c>
      <c r="F77" s="24" t="str">
        <f>INDEX(Resumes!$I$2:$I$101,MATCH(A77,Resumes!$A$2:$A$101,0))</f>
        <v>Manish Iyer, B.Com from a tier-2 institute. 7.9 years of experience, most recently at a manufacturing company. Key skills: valuation, inventory planning, financial modelling, employee relations, SQL. Achievement: improved vendor on-time delivery from 78% to 92%. Career gap: None.</v>
      </c>
      <c r="G77" s="24" t="str">
        <f t="shared" si="22"/>
        <v>improved vendor on-time delivery from 78% to 92%</v>
      </c>
      <c r="H77" s="24">
        <f>INDEX('Scoring Prompt'!$C$22:$C$23,MATCH(B77,'Scoring Prompt'!$A$22:$A$23,0))</f>
        <v>2</v>
      </c>
      <c r="I77" s="24">
        <f>INDEX('Scoring Prompt'!$D$22:$D$23,MATCH(B77,'Scoring Prompt'!$A$22:$A$23,0))</f>
        <v>4</v>
      </c>
      <c r="J77" s="24">
        <f>INDEX('Scoring Prompt'!$B$27:$C$34,MATCH(C77,'Scoring Prompt'!$A$27:$A$34,0),MATCH(B77,'Scoring Prompt'!$B$26:$C$26,0))</f>
        <v>8</v>
      </c>
      <c r="K77" s="24">
        <f>IF(AND(D77&gt;=H77,D77&lt;=I77),'Scoring Prompt'!$B$47,IF(D77&lt;H77,IF(H77-D77&lt;=1,'Scoring Prompt'!$B$48,IF(H77-D77&lt;=2,'Scoring Prompt'!$B$49,'Scoring Prompt'!$B$50)),IF(D77-I77&lt;=2,'Scoring Prompt'!$B$51,'Scoring Prompt'!$B$52)))</f>
        <v>12</v>
      </c>
      <c r="L77" s="24">
        <f>IF(B77="JD3",SUMPRODUCT(--ISNUMBER(SEARCH('Scoring Prompt'!$E$22:$I$22,E77))),SUMPRODUCT(--ISNUMBER(SEARCH('Scoring Prompt'!$E$23:$I$23,E77))))</f>
        <v>2</v>
      </c>
      <c r="M77" s="24">
        <f t="shared" si="23"/>
        <v>16</v>
      </c>
      <c r="N77" s="24">
        <f>INDEX('Scoring Prompt'!$B$38:$C$43,MATCH(G77,'Scoring Prompt'!$A$38:$A$43,0),MATCH(B77,'Scoring Prompt'!$B$37:$C$37,0))</f>
        <v>4</v>
      </c>
      <c r="O77" s="24">
        <f t="shared" si="24"/>
        <v>40</v>
      </c>
      <c r="P77" s="24">
        <f>'Scored Shortlist'!E77</f>
        <v>8</v>
      </c>
      <c r="Q77" s="24">
        <f>'Scored Shortlist'!F77</f>
        <v>12</v>
      </c>
      <c r="R77" s="24">
        <f>'Scored Shortlist'!G77</f>
        <v>16</v>
      </c>
      <c r="S77" s="24">
        <f>'Scored Shortlist'!H77</f>
        <v>4</v>
      </c>
      <c r="T77" s="24">
        <f>'Scored Shortlist'!I77</f>
        <v>40</v>
      </c>
      <c r="U77" s="24">
        <f>IF('Scored Shortlist'!M77="none",0,(LEN('Scored Shortlist'!M77)-LEN(SUBSTITUTE('Scored Shortlist'!M77,"&lt;-","")))/2)</f>
        <v>0</v>
      </c>
      <c r="V77" s="24">
        <f t="shared" si="25"/>
        <v>1</v>
      </c>
      <c r="W77" s="24">
        <f t="shared" si="26"/>
        <v>1</v>
      </c>
      <c r="X77" s="24">
        <f t="shared" si="27"/>
        <v>1</v>
      </c>
      <c r="Y77" s="24">
        <f t="shared" si="28"/>
        <v>0</v>
      </c>
      <c r="Z77" s="24">
        <f t="shared" si="29"/>
        <v>0</v>
      </c>
      <c r="AA77" s="24">
        <f t="shared" si="30"/>
        <v>1</v>
      </c>
      <c r="AB77" s="25" t="str">
        <f t="shared" si="31"/>
        <v>OK</v>
      </c>
      <c r="AC77" s="24" t="str">
        <f t="shared" si="32"/>
        <v>Not shortlisted</v>
      </c>
      <c r="AD77" s="24" t="str">
        <f>IF(ISNUMBER(SEARCH(" "&amp;LEFT('Scored Shortlist'!B77,FIND(" ",'Scored Shortlist'!B77)-1)&amp;" "," "&amp;'Scored Shortlist'!N77&amp;" ")),"YES","no")</f>
        <v>no</v>
      </c>
    </row>
    <row r="78" spans="1:30" x14ac:dyDescent="0.25">
      <c r="A78" s="24" t="str">
        <f>'Scored Shortlist'!A78</f>
        <v>CV004</v>
      </c>
      <c r="B78" s="24" t="str">
        <f>'Scored Shortlist'!C78</f>
        <v>JD3</v>
      </c>
      <c r="C78" s="24" t="str">
        <f>INDEX(Resumes!$D$2:$D$101,MATCH(A78,Resumes!$A$2:$A$101,0))</f>
        <v>B.Tech + MBA</v>
      </c>
      <c r="D78" s="24">
        <f>INDEX(Resumes!$E$2:$E$101,MATCH(A78,Resumes!$A$2:$A$101,0))</f>
        <v>1.9</v>
      </c>
      <c r="E78" s="24" t="str">
        <f>INDEX(Resumes!$G$2:$G$101,MATCH(A78,Resumes!$A$2:$A$101,0))</f>
        <v>stakeholder management, agile, content writing, inventory planning, Excel</v>
      </c>
      <c r="F78" s="24" t="str">
        <f>INDEX(Resumes!$I$2:$I$101,MATCH(A78,Resumes!$A$2:$A$101,0))</f>
        <v>Meera Menon, B.Tech + MBA from a tier-2 institute. 1.9 years of experience, most recently at a fintech start-up. Key skills: stakeholder management, agile, content writing, inventory planning, Excel. Achievement: led a 5-member campus marketing team. Career gap: None.</v>
      </c>
      <c r="G78" s="24" t="str">
        <f t="shared" si="22"/>
        <v>led a 5-member campus marketing team</v>
      </c>
      <c r="H78" s="24">
        <f>INDEX('Scoring Prompt'!$C$22:$C$23,MATCH(B78,'Scoring Prompt'!$A$22:$A$23,0))</f>
        <v>2</v>
      </c>
      <c r="I78" s="24">
        <f>INDEX('Scoring Prompt'!$D$22:$D$23,MATCH(B78,'Scoring Prompt'!$A$22:$A$23,0))</f>
        <v>4</v>
      </c>
      <c r="J78" s="24">
        <f>INDEX('Scoring Prompt'!$B$27:$C$34,MATCH(C78,'Scoring Prompt'!$A$27:$A$34,0),MATCH(B78,'Scoring Prompt'!$B$26:$C$26,0))</f>
        <v>12</v>
      </c>
      <c r="K78" s="24">
        <f>IF(AND(D78&gt;=H78,D78&lt;=I78),'Scoring Prompt'!$B$47,IF(D78&lt;H78,IF(H78-D78&lt;=1,'Scoring Prompt'!$B$48,IF(H78-D78&lt;=2,'Scoring Prompt'!$B$49,'Scoring Prompt'!$B$50)),IF(D78-I78&lt;=2,'Scoring Prompt'!$B$51,'Scoring Prompt'!$B$52)))</f>
        <v>15</v>
      </c>
      <c r="L78" s="24">
        <f>IF(B78="JD3",SUMPRODUCT(--ISNUMBER(SEARCH('Scoring Prompt'!$E$22:$I$22,E78))),SUMPRODUCT(--ISNUMBER(SEARCH('Scoring Prompt'!$E$23:$I$23,E78))))</f>
        <v>1</v>
      </c>
      <c r="M78" s="24">
        <f t="shared" si="23"/>
        <v>8</v>
      </c>
      <c r="N78" s="24">
        <f>INDEX('Scoring Prompt'!$B$38:$C$43,MATCH(G78,'Scoring Prompt'!$A$38:$A$43,0),MATCH(B78,'Scoring Prompt'!$B$37:$C$37,0))</f>
        <v>3</v>
      </c>
      <c r="O78" s="24">
        <f t="shared" si="24"/>
        <v>38</v>
      </c>
      <c r="P78" s="24">
        <f>'Scored Shortlist'!E78</f>
        <v>12</v>
      </c>
      <c r="Q78" s="24">
        <f>'Scored Shortlist'!F78</f>
        <v>15</v>
      </c>
      <c r="R78" s="24">
        <f>'Scored Shortlist'!G78</f>
        <v>8</v>
      </c>
      <c r="S78" s="24">
        <f>'Scored Shortlist'!H78</f>
        <v>3</v>
      </c>
      <c r="T78" s="24">
        <f>'Scored Shortlist'!I78</f>
        <v>38</v>
      </c>
      <c r="U78" s="24">
        <f>IF('Scored Shortlist'!M78="none",0,(LEN('Scored Shortlist'!M78)-LEN(SUBSTITUTE('Scored Shortlist'!M78,"&lt;-","")))/2)</f>
        <v>0</v>
      </c>
      <c r="V78" s="24">
        <f t="shared" si="25"/>
        <v>1</v>
      </c>
      <c r="W78" s="24">
        <f t="shared" si="26"/>
        <v>1</v>
      </c>
      <c r="X78" s="24">
        <f t="shared" si="27"/>
        <v>1</v>
      </c>
      <c r="Y78" s="24">
        <f t="shared" si="28"/>
        <v>0</v>
      </c>
      <c r="Z78" s="24">
        <f t="shared" si="29"/>
        <v>0</v>
      </c>
      <c r="AA78" s="24">
        <f t="shared" si="30"/>
        <v>1</v>
      </c>
      <c r="AB78" s="25" t="str">
        <f t="shared" si="31"/>
        <v>OK</v>
      </c>
      <c r="AC78" s="24" t="str">
        <f t="shared" si="32"/>
        <v>Not shortlisted</v>
      </c>
      <c r="AD78" s="24" t="str">
        <f>IF(ISNUMBER(SEARCH(" "&amp;LEFT('Scored Shortlist'!B78,FIND(" ",'Scored Shortlist'!B78)-1)&amp;" "," "&amp;'Scored Shortlist'!N78&amp;" ")),"YES","no")</f>
        <v>no</v>
      </c>
    </row>
    <row r="79" spans="1:30" x14ac:dyDescent="0.25">
      <c r="A79" s="24" t="str">
        <f>'Scored Shortlist'!A79</f>
        <v>CV041</v>
      </c>
      <c r="B79" s="24" t="str">
        <f>'Scored Shortlist'!C79</f>
        <v>JD3</v>
      </c>
      <c r="C79" s="24" t="str">
        <f>INDEX(Resumes!$D$2:$D$101,MATCH(A79,Resumes!$A$2:$A$101,0))</f>
        <v>BBA</v>
      </c>
      <c r="D79" s="24">
        <f>INDEX(Resumes!$E$2:$E$101,MATCH(A79,Resumes!$A$2:$A$101,0))</f>
        <v>5.0999999999999996</v>
      </c>
      <c r="E79" s="24" t="str">
        <f>INDEX(Resumes!$G$2:$G$101,MATCH(A79,Resumes!$A$2:$A$101,0))</f>
        <v>SEO, SQL, HR analytics, Excel, inventory planning</v>
      </c>
      <c r="F79" s="24" t="str">
        <f>INDEX(Resumes!$I$2:$I$101,MATCH(A79,Resumes!$A$2:$A$101,0))</f>
        <v>Neha Gupta, BBA from a tier-3 institute. 5.1 years of experience, most recently at an FMCG distributor. Key skills: SEO, SQL, HR analytics, Excel, inventory planning. Achievement: improved vendor on-time delivery from 78% to 92%. Career gap: None.</v>
      </c>
      <c r="G79" s="24" t="str">
        <f t="shared" si="22"/>
        <v>improved vendor on-time delivery from 78% to 92%</v>
      </c>
      <c r="H79" s="24">
        <f>INDEX('Scoring Prompt'!$C$22:$C$23,MATCH(B79,'Scoring Prompt'!$A$22:$A$23,0))</f>
        <v>2</v>
      </c>
      <c r="I79" s="24">
        <f>INDEX('Scoring Prompt'!$D$22:$D$23,MATCH(B79,'Scoring Prompt'!$A$22:$A$23,0))</f>
        <v>4</v>
      </c>
      <c r="J79" s="24">
        <f>INDEX('Scoring Prompt'!$B$27:$C$34,MATCH(C79,'Scoring Prompt'!$A$27:$A$34,0),MATCH(B79,'Scoring Prompt'!$B$26:$C$26,0))</f>
        <v>6</v>
      </c>
      <c r="K79" s="24">
        <f>IF(AND(D79&gt;=H79,D79&lt;=I79),'Scoring Prompt'!$B$47,IF(D79&lt;H79,IF(H79-D79&lt;=1,'Scoring Prompt'!$B$48,IF(H79-D79&lt;=2,'Scoring Prompt'!$B$49,'Scoring Prompt'!$B$50)),IF(D79-I79&lt;=2,'Scoring Prompt'!$B$51,'Scoring Prompt'!$B$52)))</f>
        <v>20</v>
      </c>
      <c r="L79" s="24">
        <f>IF(B79="JD3",SUMPRODUCT(--ISNUMBER(SEARCH('Scoring Prompt'!$E$22:$I$22,E79))),SUMPRODUCT(--ISNUMBER(SEARCH('Scoring Prompt'!$E$23:$I$23,E79))))</f>
        <v>1</v>
      </c>
      <c r="M79" s="24">
        <f t="shared" si="23"/>
        <v>8</v>
      </c>
      <c r="N79" s="24">
        <f>INDEX('Scoring Prompt'!$B$38:$C$43,MATCH(G79,'Scoring Prompt'!$A$38:$A$43,0),MATCH(B79,'Scoring Prompt'!$B$37:$C$37,0))</f>
        <v>4</v>
      </c>
      <c r="O79" s="24">
        <f t="shared" si="24"/>
        <v>38</v>
      </c>
      <c r="P79" s="24">
        <f>'Scored Shortlist'!E79</f>
        <v>6</v>
      </c>
      <c r="Q79" s="24">
        <f>'Scored Shortlist'!F79</f>
        <v>20</v>
      </c>
      <c r="R79" s="24">
        <f>'Scored Shortlist'!G79</f>
        <v>8</v>
      </c>
      <c r="S79" s="24">
        <f>'Scored Shortlist'!H79</f>
        <v>4</v>
      </c>
      <c r="T79" s="24">
        <f>'Scored Shortlist'!I79</f>
        <v>38</v>
      </c>
      <c r="U79" s="24">
        <f>IF('Scored Shortlist'!M79="none",0,(LEN('Scored Shortlist'!M79)-LEN(SUBSTITUTE('Scored Shortlist'!M79,"&lt;-","")))/2)</f>
        <v>0</v>
      </c>
      <c r="V79" s="24">
        <f t="shared" si="25"/>
        <v>1</v>
      </c>
      <c r="W79" s="24">
        <f t="shared" si="26"/>
        <v>1</v>
      </c>
      <c r="X79" s="24">
        <f t="shared" si="27"/>
        <v>1</v>
      </c>
      <c r="Y79" s="24">
        <f t="shared" si="28"/>
        <v>0</v>
      </c>
      <c r="Z79" s="24">
        <f t="shared" si="29"/>
        <v>0</v>
      </c>
      <c r="AA79" s="24">
        <f t="shared" si="30"/>
        <v>1</v>
      </c>
      <c r="AB79" s="25" t="str">
        <f t="shared" si="31"/>
        <v>OK</v>
      </c>
      <c r="AC79" s="24" t="str">
        <f t="shared" si="32"/>
        <v>Not shortlisted</v>
      </c>
      <c r="AD79" s="24" t="str">
        <f>IF(ISNUMBER(SEARCH(" "&amp;LEFT('Scored Shortlist'!B79,FIND(" ",'Scored Shortlist'!B79)-1)&amp;" "," "&amp;'Scored Shortlist'!N79&amp;" ")),"YES","no")</f>
        <v>no</v>
      </c>
    </row>
    <row r="80" spans="1:30" x14ac:dyDescent="0.25">
      <c r="A80" s="24" t="str">
        <f>'Scored Shortlist'!A80</f>
        <v>CV088</v>
      </c>
      <c r="B80" s="24" t="str">
        <f>'Scored Shortlist'!C80</f>
        <v>JD3</v>
      </c>
      <c r="C80" s="24" t="str">
        <f>INDEX(Resumes!$D$2:$D$101,MATCH(A80,Resumes!$A$2:$A$101,0))</f>
        <v>BBA</v>
      </c>
      <c r="D80" s="24">
        <f>INDEX(Resumes!$E$2:$E$101,MATCH(A80,Resumes!$A$2:$A$101,0))</f>
        <v>1.3</v>
      </c>
      <c r="E80" s="24" t="str">
        <f>INDEX(Resumes!$G$2:$G$101,MATCH(A80,Resumes!$A$2:$A$101,0))</f>
        <v>financial modelling, vendor management, product roadmap, recruitment, valuation, UPI/payments, campaign management, demand forecasting</v>
      </c>
      <c r="F80" s="24" t="str">
        <f>INDEX(Resumes!$I$2:$I$101,MATCH(A80,Resumes!$A$2:$A$101,0))</f>
        <v>Manish Patil, BBA from a tier-2 institute. 1.3 years of experience, most recently at an IT services firm. Key skills: financial modelling, vendor management, product roadmap, recruitment, valuation, UPI/payments, campaign management, demand forecasting. Achievement: no major achievement listed. Career gap: None.</v>
      </c>
      <c r="G80" s="24" t="str">
        <f t="shared" si="22"/>
        <v>no major achievement listed</v>
      </c>
      <c r="H80" s="24">
        <f>INDEX('Scoring Prompt'!$C$22:$C$23,MATCH(B80,'Scoring Prompt'!$A$22:$A$23,0))</f>
        <v>2</v>
      </c>
      <c r="I80" s="24">
        <f>INDEX('Scoring Prompt'!$D$22:$D$23,MATCH(B80,'Scoring Prompt'!$A$22:$A$23,0))</f>
        <v>4</v>
      </c>
      <c r="J80" s="24">
        <f>INDEX('Scoring Prompt'!$B$27:$C$34,MATCH(C80,'Scoring Prompt'!$A$27:$A$34,0),MATCH(B80,'Scoring Prompt'!$B$26:$C$26,0))</f>
        <v>6</v>
      </c>
      <c r="K80" s="24">
        <f>IF(AND(D80&gt;=H80,D80&lt;=I80),'Scoring Prompt'!$B$47,IF(D80&lt;H80,IF(H80-D80&lt;=1,'Scoring Prompt'!$B$48,IF(H80-D80&lt;=2,'Scoring Prompt'!$B$49,'Scoring Prompt'!$B$50)),IF(D80-I80&lt;=2,'Scoring Prompt'!$B$51,'Scoring Prompt'!$B$52)))</f>
        <v>15</v>
      </c>
      <c r="L80" s="24">
        <f>IF(B80="JD3",SUMPRODUCT(--ISNUMBER(SEARCH('Scoring Prompt'!$E$22:$I$22,E80))),SUMPRODUCT(--ISNUMBER(SEARCH('Scoring Prompt'!$E$23:$I$23,E80))))</f>
        <v>2</v>
      </c>
      <c r="M80" s="24">
        <f t="shared" si="23"/>
        <v>16</v>
      </c>
      <c r="N80" s="24">
        <f>INDEX('Scoring Prompt'!$B$38:$C$43,MATCH(G80,'Scoring Prompt'!$A$38:$A$43,0),MATCH(B80,'Scoring Prompt'!$B$37:$C$37,0))</f>
        <v>0</v>
      </c>
      <c r="O80" s="24">
        <f t="shared" si="24"/>
        <v>37</v>
      </c>
      <c r="P80" s="24">
        <f>'Scored Shortlist'!E80</f>
        <v>6</v>
      </c>
      <c r="Q80" s="24">
        <f>'Scored Shortlist'!F80</f>
        <v>15</v>
      </c>
      <c r="R80" s="24">
        <f>'Scored Shortlist'!G80</f>
        <v>16</v>
      </c>
      <c r="S80" s="24">
        <f>'Scored Shortlist'!H80</f>
        <v>0</v>
      </c>
      <c r="T80" s="24">
        <f>'Scored Shortlist'!I80</f>
        <v>37</v>
      </c>
      <c r="U80" s="24">
        <f>IF('Scored Shortlist'!M80="none",0,(LEN('Scored Shortlist'!M80)-LEN(SUBSTITUTE('Scored Shortlist'!M80,"&lt;-","")))/2)</f>
        <v>0</v>
      </c>
      <c r="V80" s="24">
        <f t="shared" si="25"/>
        <v>1</v>
      </c>
      <c r="W80" s="24">
        <f t="shared" si="26"/>
        <v>1</v>
      </c>
      <c r="X80" s="24">
        <f t="shared" si="27"/>
        <v>1</v>
      </c>
      <c r="Y80" s="24">
        <f t="shared" si="28"/>
        <v>0</v>
      </c>
      <c r="Z80" s="24">
        <f t="shared" si="29"/>
        <v>0</v>
      </c>
      <c r="AA80" s="24">
        <f t="shared" si="30"/>
        <v>1</v>
      </c>
      <c r="AB80" s="25" t="str">
        <f t="shared" si="31"/>
        <v>OK</v>
      </c>
      <c r="AC80" s="24" t="str">
        <f t="shared" si="32"/>
        <v>Not shortlisted</v>
      </c>
      <c r="AD80" s="24" t="str">
        <f>IF(ISNUMBER(SEARCH(" "&amp;LEFT('Scored Shortlist'!B80,FIND(" ",'Scored Shortlist'!B80)-1)&amp;" "," "&amp;'Scored Shortlist'!N80&amp;" ")),"YES","no")</f>
        <v>no</v>
      </c>
    </row>
    <row r="81" spans="1:30" x14ac:dyDescent="0.25">
      <c r="A81" s="24" t="str">
        <f>'Scored Shortlist'!A81</f>
        <v>CV095</v>
      </c>
      <c r="B81" s="24" t="str">
        <f>'Scored Shortlist'!C81</f>
        <v>JD3</v>
      </c>
      <c r="C81" s="24" t="str">
        <f>INDEX(Resumes!$D$2:$D$101,MATCH(A81,Resumes!$A$2:$A$101,0))</f>
        <v>CA</v>
      </c>
      <c r="D81" s="24">
        <f>INDEX(Resumes!$E$2:$E$101,MATCH(A81,Resumes!$A$2:$A$101,0))</f>
        <v>0</v>
      </c>
      <c r="E81" s="24" t="str">
        <f>INDEX(Resumes!$G$2:$G$101,MATCH(A81,Resumes!$A$2:$A$101,0))</f>
        <v>agile, inventory planning, HR analytics, content writing, stakeholder management, recruitment, SQL, SEO</v>
      </c>
      <c r="F81" s="24" t="str">
        <f>INDEX(Resumes!$I$2:$I$101,MATCH(A81,Resumes!$A$2:$A$101,0))</f>
        <v>Deepak Nair, CA from a tier-2 institute. 0.0 years of experience, most recently at a retail chain. Key skills: agile, inventory planning, HR analytics, content writing, stakeholder management, recruitment, SQL, SEO. Achievement: improved vendor on-time delivery from 78% to 92%. Career gap: None.</v>
      </c>
      <c r="G81" s="24" t="str">
        <f t="shared" si="22"/>
        <v>improved vendor on-time delivery from 78% to 92%</v>
      </c>
      <c r="H81" s="24">
        <f>INDEX('Scoring Prompt'!$C$22:$C$23,MATCH(B81,'Scoring Prompt'!$A$22:$A$23,0))</f>
        <v>2</v>
      </c>
      <c r="I81" s="24">
        <f>INDEX('Scoring Prompt'!$D$22:$D$23,MATCH(B81,'Scoring Prompt'!$A$22:$A$23,0))</f>
        <v>4</v>
      </c>
      <c r="J81" s="24">
        <f>INDEX('Scoring Prompt'!$B$27:$C$34,MATCH(C81,'Scoring Prompt'!$A$27:$A$34,0),MATCH(B81,'Scoring Prompt'!$B$26:$C$26,0))</f>
        <v>25</v>
      </c>
      <c r="K81" s="24">
        <f>IF(AND(D81&gt;=H81,D81&lt;=I81),'Scoring Prompt'!$B$47,IF(D81&lt;H81,IF(H81-D81&lt;=1,'Scoring Prompt'!$B$48,IF(H81-D81&lt;=2,'Scoring Prompt'!$B$49,'Scoring Prompt'!$B$50)),IF(D81-I81&lt;=2,'Scoring Prompt'!$B$51,'Scoring Prompt'!$B$52)))</f>
        <v>8</v>
      </c>
      <c r="L81" s="24">
        <f>IF(B81="JD3",SUMPRODUCT(--ISNUMBER(SEARCH('Scoring Prompt'!$E$22:$I$22,E81))),SUMPRODUCT(--ISNUMBER(SEARCH('Scoring Prompt'!$E$23:$I$23,E81))))</f>
        <v>0</v>
      </c>
      <c r="M81" s="24">
        <f t="shared" si="23"/>
        <v>0</v>
      </c>
      <c r="N81" s="24">
        <f>INDEX('Scoring Prompt'!$B$38:$C$43,MATCH(G81,'Scoring Prompt'!$A$38:$A$43,0),MATCH(B81,'Scoring Prompt'!$B$37:$C$37,0))</f>
        <v>4</v>
      </c>
      <c r="O81" s="24">
        <f t="shared" si="24"/>
        <v>37</v>
      </c>
      <c r="P81" s="24">
        <f>'Scored Shortlist'!E81</f>
        <v>25</v>
      </c>
      <c r="Q81" s="24">
        <f>'Scored Shortlist'!F81</f>
        <v>8</v>
      </c>
      <c r="R81" s="24">
        <f>'Scored Shortlist'!G81</f>
        <v>0</v>
      </c>
      <c r="S81" s="24">
        <f>'Scored Shortlist'!H81</f>
        <v>4</v>
      </c>
      <c r="T81" s="24">
        <f>'Scored Shortlist'!I81</f>
        <v>37</v>
      </c>
      <c r="U81" s="24">
        <f>IF('Scored Shortlist'!M81="none",0,(LEN('Scored Shortlist'!M81)-LEN(SUBSTITUTE('Scored Shortlist'!M81,"&lt;-","")))/2)</f>
        <v>0</v>
      </c>
      <c r="V81" s="24">
        <f t="shared" si="25"/>
        <v>1</v>
      </c>
      <c r="W81" s="24">
        <f t="shared" si="26"/>
        <v>1</v>
      </c>
      <c r="X81" s="24">
        <f t="shared" si="27"/>
        <v>1</v>
      </c>
      <c r="Y81" s="24">
        <f t="shared" si="28"/>
        <v>0</v>
      </c>
      <c r="Z81" s="24">
        <f t="shared" si="29"/>
        <v>0</v>
      </c>
      <c r="AA81" s="24">
        <f t="shared" si="30"/>
        <v>1</v>
      </c>
      <c r="AB81" s="25" t="str">
        <f t="shared" si="31"/>
        <v>OK</v>
      </c>
      <c r="AC81" s="24" t="str">
        <f t="shared" si="32"/>
        <v>Not shortlisted</v>
      </c>
      <c r="AD81" s="24" t="str">
        <f>IF(ISNUMBER(SEARCH(" "&amp;LEFT('Scored Shortlist'!B81,FIND(" ",'Scored Shortlist'!B81)-1)&amp;" "," "&amp;'Scored Shortlist'!N81&amp;" ")),"YES","no")</f>
        <v>no</v>
      </c>
    </row>
    <row r="82" spans="1:30" x14ac:dyDescent="0.25">
      <c r="A82" s="24" t="str">
        <f>'Scored Shortlist'!A82</f>
        <v>CV010</v>
      </c>
      <c r="B82" s="24" t="str">
        <f>'Scored Shortlist'!C82</f>
        <v>JD3</v>
      </c>
      <c r="C82" s="24" t="str">
        <f>INDEX(Resumes!$D$2:$D$101,MATCH(A82,Resumes!$A$2:$A$101,0))</f>
        <v>B.Com</v>
      </c>
      <c r="D82" s="24">
        <f>INDEX(Resumes!$E$2:$E$101,MATCH(A82,Resumes!$A$2:$A$101,0))</f>
        <v>2.6</v>
      </c>
      <c r="E82" s="24" t="str">
        <f>INDEX(Resumes!$G$2:$G$101,MATCH(A82,Resumes!$A$2:$A$101,0))</f>
        <v>demand forecasting, employee relations, SQL, inventory planning, product roadmap, SAP MM, negotiation, content writing</v>
      </c>
      <c r="F82" s="24" t="str">
        <f>INDEX(Resumes!$I$2:$I$101,MATCH(A82,Resumes!$A$2:$A$101,0))</f>
        <v>Madhuri Agarwal, B.Com from a tier-3 institute. 2.6 years of experience, most recently at a manufacturing company. Key skills: demand forecasting, employee relations, SQL, inventory planning, product roadmap, SAP MM, negotiation, content writing. Achievement: handled 120 hires in one year. Career gap: None.</v>
      </c>
      <c r="G82" s="24" t="str">
        <f t="shared" si="22"/>
        <v>handled 120 hires in one year</v>
      </c>
      <c r="H82" s="24">
        <f>INDEX('Scoring Prompt'!$C$22:$C$23,MATCH(B82,'Scoring Prompt'!$A$22:$A$23,0))</f>
        <v>2</v>
      </c>
      <c r="I82" s="24">
        <f>INDEX('Scoring Prompt'!$D$22:$D$23,MATCH(B82,'Scoring Prompt'!$A$22:$A$23,0))</f>
        <v>4</v>
      </c>
      <c r="J82" s="24">
        <f>INDEX('Scoring Prompt'!$B$27:$C$34,MATCH(C82,'Scoring Prompt'!$A$27:$A$34,0),MATCH(B82,'Scoring Prompt'!$B$26:$C$26,0))</f>
        <v>8</v>
      </c>
      <c r="K82" s="24">
        <f>IF(AND(D82&gt;=H82,D82&lt;=I82),'Scoring Prompt'!$B$47,IF(D82&lt;H82,IF(H82-D82&lt;=1,'Scoring Prompt'!$B$48,IF(H82-D82&lt;=2,'Scoring Prompt'!$B$49,'Scoring Prompt'!$B$50)),IF(D82-I82&lt;=2,'Scoring Prompt'!$B$51,'Scoring Prompt'!$B$52)))</f>
        <v>25</v>
      </c>
      <c r="L82" s="24">
        <f>IF(B82="JD3",SUMPRODUCT(--ISNUMBER(SEARCH('Scoring Prompt'!$E$22:$I$22,E82))),SUMPRODUCT(--ISNUMBER(SEARCH('Scoring Prompt'!$E$23:$I$23,E82))))</f>
        <v>0</v>
      </c>
      <c r="M82" s="24">
        <f t="shared" si="23"/>
        <v>0</v>
      </c>
      <c r="N82" s="24">
        <f>INDEX('Scoring Prompt'!$B$38:$C$43,MATCH(G82,'Scoring Prompt'!$A$38:$A$43,0),MATCH(B82,'Scoring Prompt'!$B$37:$C$37,0))</f>
        <v>3</v>
      </c>
      <c r="O82" s="24">
        <f t="shared" si="24"/>
        <v>36</v>
      </c>
      <c r="P82" s="24">
        <f>'Scored Shortlist'!E82</f>
        <v>8</v>
      </c>
      <c r="Q82" s="24">
        <f>'Scored Shortlist'!F82</f>
        <v>25</v>
      </c>
      <c r="R82" s="24">
        <f>'Scored Shortlist'!G82</f>
        <v>0</v>
      </c>
      <c r="S82" s="24">
        <f>'Scored Shortlist'!H82</f>
        <v>3</v>
      </c>
      <c r="T82" s="24">
        <f>'Scored Shortlist'!I82</f>
        <v>36</v>
      </c>
      <c r="U82" s="24">
        <f>IF('Scored Shortlist'!M82="none",0,(LEN('Scored Shortlist'!M82)-LEN(SUBSTITUTE('Scored Shortlist'!M82,"&lt;-","")))/2)</f>
        <v>0</v>
      </c>
      <c r="V82" s="24">
        <f t="shared" si="25"/>
        <v>1</v>
      </c>
      <c r="W82" s="24">
        <f t="shared" si="26"/>
        <v>1</v>
      </c>
      <c r="X82" s="24">
        <f t="shared" si="27"/>
        <v>1</v>
      </c>
      <c r="Y82" s="24">
        <f t="shared" si="28"/>
        <v>0</v>
      </c>
      <c r="Z82" s="24">
        <f t="shared" si="29"/>
        <v>0</v>
      </c>
      <c r="AA82" s="24">
        <f t="shared" si="30"/>
        <v>1</v>
      </c>
      <c r="AB82" s="25" t="str">
        <f t="shared" si="31"/>
        <v>OK</v>
      </c>
      <c r="AC82" s="24" t="str">
        <f t="shared" si="32"/>
        <v>Not shortlisted</v>
      </c>
      <c r="AD82" s="24" t="str">
        <f>IF(ISNUMBER(SEARCH(" "&amp;LEFT('Scored Shortlist'!B82,FIND(" ",'Scored Shortlist'!B82)-1)&amp;" "," "&amp;'Scored Shortlist'!N82&amp;" ")),"YES","no")</f>
        <v>no</v>
      </c>
    </row>
    <row r="83" spans="1:30" x14ac:dyDescent="0.25">
      <c r="A83" s="24" t="str">
        <f>'Scored Shortlist'!A83</f>
        <v>CV047</v>
      </c>
      <c r="B83" s="24" t="str">
        <f>'Scored Shortlist'!C83</f>
        <v>JD3</v>
      </c>
      <c r="C83" s="24" t="str">
        <f>INDEX(Resumes!$D$2:$D$101,MATCH(A83,Resumes!$A$2:$A$101,0))</f>
        <v>MBA Operations</v>
      </c>
      <c r="D83" s="24">
        <f>INDEX(Resumes!$E$2:$E$101,MATCH(A83,Resumes!$A$2:$A$101,0))</f>
        <v>8.4</v>
      </c>
      <c r="E83" s="24" t="str">
        <f>INDEX(Resumes!$G$2:$G$101,MATCH(A83,Resumes!$A$2:$A$101,0))</f>
        <v>Python, SAP MM, vendor management, user research, campaign management, financial modelling, demand forecasting, UPI/payments</v>
      </c>
      <c r="F83" s="24" t="str">
        <f>INDEX(Resumes!$I$2:$I$101,MATCH(A83,Resumes!$A$2:$A$101,0))</f>
        <v>Pallavi Mukherjee, MBA Operations from a tier-3 institute. 8.4 years of experience, most recently at an IT services firm. Key skills: Python, SAP MM, vendor management, user research, campaign management, financial modelling, demand forecasting, UPI/payments. Achievement: improved vendor on-time delivery from 78% to 92%. Career gap: None.</v>
      </c>
      <c r="G83" s="24" t="str">
        <f t="shared" si="22"/>
        <v>improved vendor on-time delivery from 78% to 92%</v>
      </c>
      <c r="H83" s="24">
        <f>INDEX('Scoring Prompt'!$C$22:$C$23,MATCH(B83,'Scoring Prompt'!$A$22:$A$23,0))</f>
        <v>2</v>
      </c>
      <c r="I83" s="24">
        <f>INDEX('Scoring Prompt'!$D$22:$D$23,MATCH(B83,'Scoring Prompt'!$A$22:$A$23,0))</f>
        <v>4</v>
      </c>
      <c r="J83" s="24">
        <f>INDEX('Scoring Prompt'!$B$27:$C$34,MATCH(C83,'Scoring Prompt'!$A$27:$A$34,0),MATCH(B83,'Scoring Prompt'!$B$26:$C$26,0))</f>
        <v>12</v>
      </c>
      <c r="K83" s="24">
        <f>IF(AND(D83&gt;=H83,D83&lt;=I83),'Scoring Prompt'!$B$47,IF(D83&lt;H83,IF(H83-D83&lt;=1,'Scoring Prompt'!$B$48,IF(H83-D83&lt;=2,'Scoring Prompt'!$B$49,'Scoring Prompt'!$B$50)),IF(D83-I83&lt;=2,'Scoring Prompt'!$B$51,'Scoring Prompt'!$B$52)))</f>
        <v>12</v>
      </c>
      <c r="L83" s="24">
        <f>IF(B83="JD3",SUMPRODUCT(--ISNUMBER(SEARCH('Scoring Prompt'!$E$22:$I$22,E83))),SUMPRODUCT(--ISNUMBER(SEARCH('Scoring Prompt'!$E$23:$I$23,E83))))</f>
        <v>1</v>
      </c>
      <c r="M83" s="24">
        <f t="shared" si="23"/>
        <v>8</v>
      </c>
      <c r="N83" s="24">
        <f>INDEX('Scoring Prompt'!$B$38:$C$43,MATCH(G83,'Scoring Prompt'!$A$38:$A$43,0),MATCH(B83,'Scoring Prompt'!$B$37:$C$37,0))</f>
        <v>4</v>
      </c>
      <c r="O83" s="24">
        <f t="shared" si="24"/>
        <v>36</v>
      </c>
      <c r="P83" s="24">
        <f>'Scored Shortlist'!E83</f>
        <v>12</v>
      </c>
      <c r="Q83" s="24">
        <f>'Scored Shortlist'!F83</f>
        <v>12</v>
      </c>
      <c r="R83" s="24">
        <f>'Scored Shortlist'!G83</f>
        <v>8</v>
      </c>
      <c r="S83" s="24">
        <f>'Scored Shortlist'!H83</f>
        <v>4</v>
      </c>
      <c r="T83" s="24">
        <f>'Scored Shortlist'!I83</f>
        <v>36</v>
      </c>
      <c r="U83" s="24">
        <f>IF('Scored Shortlist'!M83="none",0,(LEN('Scored Shortlist'!M83)-LEN(SUBSTITUTE('Scored Shortlist'!M83,"&lt;-","")))/2)</f>
        <v>0</v>
      </c>
      <c r="V83" s="24">
        <f t="shared" si="25"/>
        <v>1</v>
      </c>
      <c r="W83" s="24">
        <f t="shared" si="26"/>
        <v>1</v>
      </c>
      <c r="X83" s="24">
        <f t="shared" si="27"/>
        <v>1</v>
      </c>
      <c r="Y83" s="24">
        <f t="shared" si="28"/>
        <v>0</v>
      </c>
      <c r="Z83" s="24">
        <f t="shared" si="29"/>
        <v>0</v>
      </c>
      <c r="AA83" s="24">
        <f t="shared" si="30"/>
        <v>1</v>
      </c>
      <c r="AB83" s="25" t="str">
        <f t="shared" si="31"/>
        <v>OK</v>
      </c>
      <c r="AC83" s="24" t="str">
        <f t="shared" si="32"/>
        <v>Not shortlisted</v>
      </c>
      <c r="AD83" s="24" t="str">
        <f>IF(ISNUMBER(SEARCH(" "&amp;LEFT('Scored Shortlist'!B83,FIND(" ",'Scored Shortlist'!B83)-1)&amp;" "," "&amp;'Scored Shortlist'!N83&amp;" ")),"YES","no")</f>
        <v>no</v>
      </c>
    </row>
    <row r="84" spans="1:30" x14ac:dyDescent="0.25">
      <c r="A84" s="24" t="str">
        <f>'Scored Shortlist'!A84</f>
        <v>CV059</v>
      </c>
      <c r="B84" s="24" t="str">
        <f>'Scored Shortlist'!C84</f>
        <v>JD3</v>
      </c>
      <c r="C84" s="24" t="str">
        <f>INDEX(Resumes!$D$2:$D$101,MATCH(A84,Resumes!$A$2:$A$101,0))</f>
        <v>B.Com</v>
      </c>
      <c r="D84" s="24">
        <f>INDEX(Resumes!$E$2:$E$101,MATCH(A84,Resumes!$A$2:$A$101,0))</f>
        <v>4.7</v>
      </c>
      <c r="E84" s="24" t="str">
        <f>INDEX(Resumes!$G$2:$G$101,MATCH(A84,Resumes!$A$2:$A$101,0))</f>
        <v>user research, employee relations, campaign management, UPI/payments, SQL, content writing, recruitment, Power BI</v>
      </c>
      <c r="F84" s="24" t="str">
        <f>INDEX(Resumes!$I$2:$I$101,MATCH(A84,Resumes!$A$2:$A$101,0))</f>
        <v>Simran Mehta, B.Com from a tier-1 institute. 4.7 years of experience, most recently at a fintech start-up. Key skills: user research, employee relations, campaign management, UPI/payments, SQL, content writing, recruitment, Power BI. Achievement: no major achievement listed. Career gap: 1-year career break (family).</v>
      </c>
      <c r="G84" s="24" t="str">
        <f t="shared" si="22"/>
        <v>no major achievement listed</v>
      </c>
      <c r="H84" s="24">
        <f>INDEX('Scoring Prompt'!$C$22:$C$23,MATCH(B84,'Scoring Prompt'!$A$22:$A$23,0))</f>
        <v>2</v>
      </c>
      <c r="I84" s="24">
        <f>INDEX('Scoring Prompt'!$D$22:$D$23,MATCH(B84,'Scoring Prompt'!$A$22:$A$23,0))</f>
        <v>4</v>
      </c>
      <c r="J84" s="24">
        <f>INDEX('Scoring Prompt'!$B$27:$C$34,MATCH(C84,'Scoring Prompt'!$A$27:$A$34,0),MATCH(B84,'Scoring Prompt'!$B$26:$C$26,0))</f>
        <v>8</v>
      </c>
      <c r="K84" s="24">
        <f>IF(AND(D84&gt;=H84,D84&lt;=I84),'Scoring Prompt'!$B$47,IF(D84&lt;H84,IF(H84-D84&lt;=1,'Scoring Prompt'!$B$48,IF(H84-D84&lt;=2,'Scoring Prompt'!$B$49,'Scoring Prompt'!$B$50)),IF(D84-I84&lt;=2,'Scoring Prompt'!$B$51,'Scoring Prompt'!$B$52)))</f>
        <v>20</v>
      </c>
      <c r="L84" s="24">
        <f>IF(B84="JD3",SUMPRODUCT(--ISNUMBER(SEARCH('Scoring Prompt'!$E$22:$I$22,E84))),SUMPRODUCT(--ISNUMBER(SEARCH('Scoring Prompt'!$E$23:$I$23,E84))))</f>
        <v>1</v>
      </c>
      <c r="M84" s="24">
        <f t="shared" si="23"/>
        <v>8</v>
      </c>
      <c r="N84" s="24">
        <f>INDEX('Scoring Prompt'!$B$38:$C$43,MATCH(G84,'Scoring Prompt'!$A$38:$A$43,0),MATCH(B84,'Scoring Prompt'!$B$37:$C$37,0))</f>
        <v>0</v>
      </c>
      <c r="O84" s="24">
        <f t="shared" si="24"/>
        <v>36</v>
      </c>
      <c r="P84" s="24">
        <f>'Scored Shortlist'!E84</f>
        <v>8</v>
      </c>
      <c r="Q84" s="24">
        <f>'Scored Shortlist'!F84</f>
        <v>20</v>
      </c>
      <c r="R84" s="24">
        <f>'Scored Shortlist'!G84</f>
        <v>8</v>
      </c>
      <c r="S84" s="24">
        <f>'Scored Shortlist'!H84</f>
        <v>0</v>
      </c>
      <c r="T84" s="24">
        <f>'Scored Shortlist'!I84</f>
        <v>36</v>
      </c>
      <c r="U84" s="24">
        <f>IF('Scored Shortlist'!M84="none",0,(LEN('Scored Shortlist'!M84)-LEN(SUBSTITUTE('Scored Shortlist'!M84,"&lt;-","")))/2)</f>
        <v>0</v>
      </c>
      <c r="V84" s="24">
        <f t="shared" si="25"/>
        <v>1</v>
      </c>
      <c r="W84" s="24">
        <f t="shared" si="26"/>
        <v>1</v>
      </c>
      <c r="X84" s="24">
        <f t="shared" si="27"/>
        <v>1</v>
      </c>
      <c r="Y84" s="24">
        <f t="shared" si="28"/>
        <v>0</v>
      </c>
      <c r="Z84" s="24">
        <f t="shared" si="29"/>
        <v>0</v>
      </c>
      <c r="AA84" s="24">
        <f t="shared" si="30"/>
        <v>1</v>
      </c>
      <c r="AB84" s="25" t="str">
        <f t="shared" si="31"/>
        <v>OK</v>
      </c>
      <c r="AC84" s="24" t="str">
        <f t="shared" si="32"/>
        <v>Not shortlisted</v>
      </c>
      <c r="AD84" s="24" t="str">
        <f>IF(ISNUMBER(SEARCH(" "&amp;LEFT('Scored Shortlist'!B84,FIND(" ",'Scored Shortlist'!B84)-1)&amp;" "," "&amp;'Scored Shortlist'!N84&amp;" ")),"YES","no")</f>
        <v>no</v>
      </c>
    </row>
    <row r="85" spans="1:30" x14ac:dyDescent="0.25">
      <c r="A85" s="24" t="str">
        <f>'Scored Shortlist'!A85</f>
        <v>CV071</v>
      </c>
      <c r="B85" s="24" t="str">
        <f>'Scored Shortlist'!C85</f>
        <v>JD3</v>
      </c>
      <c r="C85" s="24" t="str">
        <f>INDEX(Resumes!$D$2:$D$101,MATCH(A85,Resumes!$A$2:$A$101,0))</f>
        <v>B.Com</v>
      </c>
      <c r="D85" s="24">
        <f>INDEX(Resumes!$E$2:$E$101,MATCH(A85,Resumes!$A$2:$A$101,0))</f>
        <v>8.5</v>
      </c>
      <c r="E85" s="24" t="str">
        <f>INDEX(Resumes!$G$2:$G$101,MATCH(A85,Resumes!$A$2:$A$101,0))</f>
        <v>stakeholder management, Python, Power BI, HR analytics, employee relations, campaign management, Excel</v>
      </c>
      <c r="F85" s="24" t="str">
        <f>INDEX(Resumes!$I$2:$I$101,MATCH(A85,Resumes!$A$2:$A$101,0))</f>
        <v>Thomas Joshi, B.Com from a tier-3 institute. 8.5 years of experience, most recently at an FMCG distributor. Key skills: stakeholder management, Python, Power BI, HR analytics, employee relations, campaign management, Excel. Achievement: no major achievement listed. Career gap: None.</v>
      </c>
      <c r="G85" s="24" t="str">
        <f t="shared" si="22"/>
        <v>no major achievement listed</v>
      </c>
      <c r="H85" s="24">
        <f>INDEX('Scoring Prompt'!$C$22:$C$23,MATCH(B85,'Scoring Prompt'!$A$22:$A$23,0))</f>
        <v>2</v>
      </c>
      <c r="I85" s="24">
        <f>INDEX('Scoring Prompt'!$D$22:$D$23,MATCH(B85,'Scoring Prompt'!$A$22:$A$23,0))</f>
        <v>4</v>
      </c>
      <c r="J85" s="24">
        <f>INDEX('Scoring Prompt'!$B$27:$C$34,MATCH(C85,'Scoring Prompt'!$A$27:$A$34,0),MATCH(B85,'Scoring Prompt'!$B$26:$C$26,0))</f>
        <v>8</v>
      </c>
      <c r="K85" s="24">
        <f>IF(AND(D85&gt;=H85,D85&lt;=I85),'Scoring Prompt'!$B$47,IF(D85&lt;H85,IF(H85-D85&lt;=1,'Scoring Prompt'!$B$48,IF(H85-D85&lt;=2,'Scoring Prompt'!$B$49,'Scoring Prompt'!$B$50)),IF(D85-I85&lt;=2,'Scoring Prompt'!$B$51,'Scoring Prompt'!$B$52)))</f>
        <v>12</v>
      </c>
      <c r="L85" s="24">
        <f>IF(B85="JD3",SUMPRODUCT(--ISNUMBER(SEARCH('Scoring Prompt'!$E$22:$I$22,E85))),SUMPRODUCT(--ISNUMBER(SEARCH('Scoring Prompt'!$E$23:$I$23,E85))))</f>
        <v>2</v>
      </c>
      <c r="M85" s="24">
        <f t="shared" si="23"/>
        <v>16</v>
      </c>
      <c r="N85" s="24">
        <f>INDEX('Scoring Prompt'!$B$38:$C$43,MATCH(G85,'Scoring Prompt'!$A$38:$A$43,0),MATCH(B85,'Scoring Prompt'!$B$37:$C$37,0))</f>
        <v>0</v>
      </c>
      <c r="O85" s="24">
        <f t="shared" si="24"/>
        <v>36</v>
      </c>
      <c r="P85" s="24">
        <f>'Scored Shortlist'!E85</f>
        <v>8</v>
      </c>
      <c r="Q85" s="24">
        <f>'Scored Shortlist'!F85</f>
        <v>12</v>
      </c>
      <c r="R85" s="24">
        <f>'Scored Shortlist'!G85</f>
        <v>16</v>
      </c>
      <c r="S85" s="24">
        <f>'Scored Shortlist'!H85</f>
        <v>0</v>
      </c>
      <c r="T85" s="24">
        <f>'Scored Shortlist'!I85</f>
        <v>36</v>
      </c>
      <c r="U85" s="24">
        <f>IF('Scored Shortlist'!M85="none",0,(LEN('Scored Shortlist'!M85)-LEN(SUBSTITUTE('Scored Shortlist'!M85,"&lt;-","")))/2)</f>
        <v>0</v>
      </c>
      <c r="V85" s="24">
        <f t="shared" si="25"/>
        <v>1</v>
      </c>
      <c r="W85" s="24">
        <f t="shared" si="26"/>
        <v>1</v>
      </c>
      <c r="X85" s="24">
        <f t="shared" si="27"/>
        <v>1</v>
      </c>
      <c r="Y85" s="24">
        <f t="shared" si="28"/>
        <v>0</v>
      </c>
      <c r="Z85" s="24">
        <f t="shared" si="29"/>
        <v>0</v>
      </c>
      <c r="AA85" s="24">
        <f t="shared" si="30"/>
        <v>1</v>
      </c>
      <c r="AB85" s="25" t="str">
        <f t="shared" si="31"/>
        <v>OK</v>
      </c>
      <c r="AC85" s="24" t="str">
        <f t="shared" si="32"/>
        <v>Not shortlisted</v>
      </c>
      <c r="AD85" s="24" t="str">
        <f>IF(ISNUMBER(SEARCH(" "&amp;LEFT('Scored Shortlist'!B85,FIND(" ",'Scored Shortlist'!B85)-1)&amp;" "," "&amp;'Scored Shortlist'!N85&amp;" ")),"YES","no")</f>
        <v>no</v>
      </c>
    </row>
    <row r="86" spans="1:30" x14ac:dyDescent="0.25">
      <c r="A86" s="24" t="str">
        <f>'Scored Shortlist'!A86</f>
        <v>CV066</v>
      </c>
      <c r="B86" s="24" t="str">
        <f>'Scored Shortlist'!C86</f>
        <v>JD3</v>
      </c>
      <c r="C86" s="24" t="str">
        <f>INDEX(Resumes!$D$2:$D$101,MATCH(A86,Resumes!$A$2:$A$101,0))</f>
        <v>MBA HR</v>
      </c>
      <c r="D86" s="24">
        <f>INDEX(Resumes!$E$2:$E$101,MATCH(A86,Resumes!$A$2:$A$101,0))</f>
        <v>1</v>
      </c>
      <c r="E86" s="24" t="str">
        <f>INDEX(Resumes!$G$2:$G$101,MATCH(A86,Resumes!$A$2:$A$101,0))</f>
        <v>SQL, valuation, Python, recruitment, demand forecasting, campaign management, Google Analytics</v>
      </c>
      <c r="F86" s="24" t="str">
        <f>INDEX(Resumes!$I$2:$I$101,MATCH(A86,Resumes!$A$2:$A$101,0))</f>
        <v>Sakshi Pawar, MBA HR from a tier-2 institute. 1.0 years of experience, most recently at a bank. Key skills: SQL, valuation, Python, recruitment, demand forecasting, campaign management, Google Analytics. Achievement: no major achievement listed. Career gap: 6-month gap (exam preparation).</v>
      </c>
      <c r="G86" s="24" t="str">
        <f t="shared" si="22"/>
        <v>no major achievement listed</v>
      </c>
      <c r="H86" s="24">
        <f>INDEX('Scoring Prompt'!$C$22:$C$23,MATCH(B86,'Scoring Prompt'!$A$22:$A$23,0))</f>
        <v>2</v>
      </c>
      <c r="I86" s="24">
        <f>INDEX('Scoring Prompt'!$D$22:$D$23,MATCH(B86,'Scoring Prompt'!$A$22:$A$23,0))</f>
        <v>4</v>
      </c>
      <c r="J86" s="24">
        <f>INDEX('Scoring Prompt'!$B$27:$C$34,MATCH(C86,'Scoring Prompt'!$A$27:$A$34,0),MATCH(B86,'Scoring Prompt'!$B$26:$C$26,0))</f>
        <v>12</v>
      </c>
      <c r="K86" s="24">
        <f>IF(AND(D86&gt;=H86,D86&lt;=I86),'Scoring Prompt'!$B$47,IF(D86&lt;H86,IF(H86-D86&lt;=1,'Scoring Prompt'!$B$48,IF(H86-D86&lt;=2,'Scoring Prompt'!$B$49,'Scoring Prompt'!$B$50)),IF(D86-I86&lt;=2,'Scoring Prompt'!$B$51,'Scoring Prompt'!$B$52)))</f>
        <v>15</v>
      </c>
      <c r="L86" s="24">
        <f>IF(B86="JD3",SUMPRODUCT(--ISNUMBER(SEARCH('Scoring Prompt'!$E$22:$I$22,E86))),SUMPRODUCT(--ISNUMBER(SEARCH('Scoring Prompt'!$E$23:$I$23,E86))))</f>
        <v>1</v>
      </c>
      <c r="M86" s="24">
        <f t="shared" si="23"/>
        <v>8</v>
      </c>
      <c r="N86" s="24">
        <f>INDEX('Scoring Prompt'!$B$38:$C$43,MATCH(G86,'Scoring Prompt'!$A$38:$A$43,0),MATCH(B86,'Scoring Prompt'!$B$37:$C$37,0))</f>
        <v>0</v>
      </c>
      <c r="O86" s="24">
        <f t="shared" si="24"/>
        <v>35</v>
      </c>
      <c r="P86" s="24">
        <f>'Scored Shortlist'!E86</f>
        <v>12</v>
      </c>
      <c r="Q86" s="24">
        <f>'Scored Shortlist'!F86</f>
        <v>15</v>
      </c>
      <c r="R86" s="24">
        <f>'Scored Shortlist'!G86</f>
        <v>8</v>
      </c>
      <c r="S86" s="24">
        <f>'Scored Shortlist'!H86</f>
        <v>0</v>
      </c>
      <c r="T86" s="24">
        <f>'Scored Shortlist'!I86</f>
        <v>35</v>
      </c>
      <c r="U86" s="24">
        <f>IF('Scored Shortlist'!M86="none",0,(LEN('Scored Shortlist'!M86)-LEN(SUBSTITUTE('Scored Shortlist'!M86,"&lt;-","")))/2)</f>
        <v>0</v>
      </c>
      <c r="V86" s="24">
        <f t="shared" si="25"/>
        <v>1</v>
      </c>
      <c r="W86" s="24">
        <f t="shared" si="26"/>
        <v>1</v>
      </c>
      <c r="X86" s="24">
        <f t="shared" si="27"/>
        <v>1</v>
      </c>
      <c r="Y86" s="24">
        <f t="shared" si="28"/>
        <v>0</v>
      </c>
      <c r="Z86" s="24">
        <f t="shared" si="29"/>
        <v>0</v>
      </c>
      <c r="AA86" s="24">
        <f t="shared" si="30"/>
        <v>1</v>
      </c>
      <c r="AB86" s="25" t="str">
        <f t="shared" si="31"/>
        <v>OK</v>
      </c>
      <c r="AC86" s="24" t="str">
        <f t="shared" si="32"/>
        <v>Not shortlisted</v>
      </c>
      <c r="AD86" s="24" t="str">
        <f>IF(ISNUMBER(SEARCH(" "&amp;LEFT('Scored Shortlist'!B86,FIND(" ",'Scored Shortlist'!B86)-1)&amp;" "," "&amp;'Scored Shortlist'!N86&amp;" ")),"YES","no")</f>
        <v>no</v>
      </c>
    </row>
    <row r="87" spans="1:30" x14ac:dyDescent="0.25">
      <c r="A87" s="24" t="str">
        <f>'Scored Shortlist'!A87</f>
        <v>CV018</v>
      </c>
      <c r="B87" s="24" t="str">
        <f>'Scored Shortlist'!C87</f>
        <v>JD3</v>
      </c>
      <c r="C87" s="24" t="str">
        <f>INDEX(Resumes!$D$2:$D$101,MATCH(A87,Resumes!$A$2:$A$101,0))</f>
        <v>B.Com</v>
      </c>
      <c r="D87" s="24">
        <f>INDEX(Resumes!$E$2:$E$101,MATCH(A87,Resumes!$A$2:$A$101,0))</f>
        <v>9</v>
      </c>
      <c r="E87" s="24" t="str">
        <f>INDEX(Resumes!$G$2:$G$101,MATCH(A87,Resumes!$A$2:$A$101,0))</f>
        <v>public speaking, Python, negotiation, inventory planning</v>
      </c>
      <c r="F87" s="24" t="str">
        <f>INDEX(Resumes!$I$2:$I$101,MATCH(A87,Resumes!$A$2:$A$101,0))</f>
        <v>Harpreet Jadhav, B.Com from a tier-2 institute. 9.0 years of experience, most recently at a bank. Key skills: public speaking, Python, negotiation, inventory planning. Achievement: built a Power BI sales dashboard used by 30 managers. Career gap: None.</v>
      </c>
      <c r="G87" s="24" t="str">
        <f t="shared" si="22"/>
        <v>built a Power BI sales dashboard used by 30 managers</v>
      </c>
      <c r="H87" s="24">
        <f>INDEX('Scoring Prompt'!$C$22:$C$23,MATCH(B87,'Scoring Prompt'!$A$22:$A$23,0))</f>
        <v>2</v>
      </c>
      <c r="I87" s="24">
        <f>INDEX('Scoring Prompt'!$D$22:$D$23,MATCH(B87,'Scoring Prompt'!$A$22:$A$23,0))</f>
        <v>4</v>
      </c>
      <c r="J87" s="24">
        <f>INDEX('Scoring Prompt'!$B$27:$C$34,MATCH(C87,'Scoring Prompt'!$A$27:$A$34,0),MATCH(B87,'Scoring Prompt'!$B$26:$C$26,0))</f>
        <v>8</v>
      </c>
      <c r="K87" s="24">
        <f>IF(AND(D87&gt;=H87,D87&lt;=I87),'Scoring Prompt'!$B$47,IF(D87&lt;H87,IF(H87-D87&lt;=1,'Scoring Prompt'!$B$48,IF(H87-D87&lt;=2,'Scoring Prompt'!$B$49,'Scoring Prompt'!$B$50)),IF(D87-I87&lt;=2,'Scoring Prompt'!$B$51,'Scoring Prompt'!$B$52)))</f>
        <v>12</v>
      </c>
      <c r="L87" s="24">
        <f>IF(B87="JD3",SUMPRODUCT(--ISNUMBER(SEARCH('Scoring Prompt'!$E$22:$I$22,E87))),SUMPRODUCT(--ISNUMBER(SEARCH('Scoring Prompt'!$E$23:$I$23,E87))))</f>
        <v>0</v>
      </c>
      <c r="M87" s="24">
        <f t="shared" si="23"/>
        <v>0</v>
      </c>
      <c r="N87" s="24">
        <f>INDEX('Scoring Prompt'!$B$38:$C$43,MATCH(G87,'Scoring Prompt'!$A$38:$A$43,0),MATCH(B87,'Scoring Prompt'!$B$37:$C$37,0))</f>
        <v>10</v>
      </c>
      <c r="O87" s="24">
        <f t="shared" si="24"/>
        <v>30</v>
      </c>
      <c r="P87" s="24">
        <f>'Scored Shortlist'!E87</f>
        <v>8</v>
      </c>
      <c r="Q87" s="24">
        <f>'Scored Shortlist'!F87</f>
        <v>12</v>
      </c>
      <c r="R87" s="24">
        <f>'Scored Shortlist'!G87</f>
        <v>4</v>
      </c>
      <c r="S87" s="24">
        <f>'Scored Shortlist'!H87</f>
        <v>10</v>
      </c>
      <c r="T87" s="24">
        <f>'Scored Shortlist'!I87</f>
        <v>34</v>
      </c>
      <c r="U87" s="24">
        <f>IF('Scored Shortlist'!M87="none",0,(LEN('Scored Shortlist'!M87)-LEN(SUBSTITUTE('Scored Shortlist'!M87,"&lt;-","")))/2)</f>
        <v>1</v>
      </c>
      <c r="V87" s="24">
        <f t="shared" si="25"/>
        <v>1</v>
      </c>
      <c r="W87" s="24">
        <f t="shared" si="26"/>
        <v>1</v>
      </c>
      <c r="X87" s="24">
        <f t="shared" si="27"/>
        <v>1</v>
      </c>
      <c r="Y87" s="24">
        <f t="shared" si="28"/>
        <v>4</v>
      </c>
      <c r="Z87" s="24">
        <f t="shared" si="29"/>
        <v>4</v>
      </c>
      <c r="AA87" s="24">
        <f t="shared" si="30"/>
        <v>1</v>
      </c>
      <c r="AB87" s="25" t="str">
        <f t="shared" si="31"/>
        <v>OK</v>
      </c>
      <c r="AC87" s="24" t="str">
        <f t="shared" si="32"/>
        <v>Not shortlisted</v>
      </c>
      <c r="AD87" s="24" t="str">
        <f>IF(ISNUMBER(SEARCH(" "&amp;LEFT('Scored Shortlist'!B87,FIND(" ",'Scored Shortlist'!B87)-1)&amp;" "," "&amp;'Scored Shortlist'!N87&amp;" ")),"YES","no")</f>
        <v>no</v>
      </c>
    </row>
    <row r="88" spans="1:30" x14ac:dyDescent="0.25">
      <c r="A88" s="24" t="str">
        <f>'Scored Shortlist'!A88</f>
        <v>CV031</v>
      </c>
      <c r="B88" s="24" t="str">
        <f>'Scored Shortlist'!C88</f>
        <v>JD3</v>
      </c>
      <c r="C88" s="24" t="str">
        <f>INDEX(Resumes!$D$2:$D$101,MATCH(A88,Resumes!$A$2:$A$101,0))</f>
        <v>MBA Operations</v>
      </c>
      <c r="D88" s="24">
        <f>INDEX(Resumes!$E$2:$E$101,MATCH(A88,Resumes!$A$2:$A$101,0))</f>
        <v>0.5</v>
      </c>
      <c r="E88" s="24" t="str">
        <f>INDEX(Resumes!$G$2:$G$101,MATCH(A88,Resumes!$A$2:$A$101,0))</f>
        <v>HR analytics, demand forecasting, product roadmap, Python, SAP MM, public speaking, employee relations, content writing</v>
      </c>
      <c r="F88" s="24" t="str">
        <f>INDEX(Resumes!$I$2:$I$101,MATCH(A88,Resumes!$A$2:$A$101,0))</f>
        <v>Tushar Deshmukh, MBA Operations from a tier-2 institute. 0.5 years of experience, most recently at an IT services firm. Key skills: HR analytics, demand forecasting, product roadmap, Python, SAP MM, public speaking, employee relations, content writing. Achievement: built a Power BI sales dashboard used by 30 managers. Career gap: 6-month gap (exam preparation).</v>
      </c>
      <c r="G88" s="24" t="str">
        <f t="shared" si="22"/>
        <v>built a Power BI sales dashboard used by 30 managers</v>
      </c>
      <c r="H88" s="24">
        <f>INDEX('Scoring Prompt'!$C$22:$C$23,MATCH(B88,'Scoring Prompt'!$A$22:$A$23,0))</f>
        <v>2</v>
      </c>
      <c r="I88" s="24">
        <f>INDEX('Scoring Prompt'!$D$22:$D$23,MATCH(B88,'Scoring Prompt'!$A$22:$A$23,0))</f>
        <v>4</v>
      </c>
      <c r="J88" s="24">
        <f>INDEX('Scoring Prompt'!$B$27:$C$34,MATCH(C88,'Scoring Prompt'!$A$27:$A$34,0),MATCH(B88,'Scoring Prompt'!$B$26:$C$26,0))</f>
        <v>12</v>
      </c>
      <c r="K88" s="24">
        <f>IF(AND(D88&gt;=H88,D88&lt;=I88),'Scoring Prompt'!$B$47,IF(D88&lt;H88,IF(H88-D88&lt;=1,'Scoring Prompt'!$B$48,IF(H88-D88&lt;=2,'Scoring Prompt'!$B$49,'Scoring Prompt'!$B$50)),IF(D88-I88&lt;=2,'Scoring Prompt'!$B$51,'Scoring Prompt'!$B$52)))</f>
        <v>8</v>
      </c>
      <c r="L88" s="24">
        <f>IF(B88="JD3",SUMPRODUCT(--ISNUMBER(SEARCH('Scoring Prompt'!$E$22:$I$22,E88))),SUMPRODUCT(--ISNUMBER(SEARCH('Scoring Prompt'!$E$23:$I$23,E88))))</f>
        <v>0</v>
      </c>
      <c r="M88" s="24">
        <f t="shared" si="23"/>
        <v>0</v>
      </c>
      <c r="N88" s="24">
        <f>INDEX('Scoring Prompt'!$B$38:$C$43,MATCH(G88,'Scoring Prompt'!$A$38:$A$43,0),MATCH(B88,'Scoring Prompt'!$B$37:$C$37,0))</f>
        <v>10</v>
      </c>
      <c r="O88" s="24">
        <f t="shared" si="24"/>
        <v>30</v>
      </c>
      <c r="P88" s="24">
        <f>'Scored Shortlist'!E88</f>
        <v>12</v>
      </c>
      <c r="Q88" s="24">
        <f>'Scored Shortlist'!F88</f>
        <v>8</v>
      </c>
      <c r="R88" s="24">
        <f>'Scored Shortlist'!G88</f>
        <v>4</v>
      </c>
      <c r="S88" s="24">
        <f>'Scored Shortlist'!H88</f>
        <v>10</v>
      </c>
      <c r="T88" s="24">
        <f>'Scored Shortlist'!I88</f>
        <v>34</v>
      </c>
      <c r="U88" s="24">
        <f>IF('Scored Shortlist'!M88="none",0,(LEN('Scored Shortlist'!M88)-LEN(SUBSTITUTE('Scored Shortlist'!M88,"&lt;-","")))/2)</f>
        <v>1</v>
      </c>
      <c r="V88" s="24">
        <f t="shared" si="25"/>
        <v>1</v>
      </c>
      <c r="W88" s="24">
        <f t="shared" si="26"/>
        <v>1</v>
      </c>
      <c r="X88" s="24">
        <f t="shared" si="27"/>
        <v>1</v>
      </c>
      <c r="Y88" s="24">
        <f t="shared" si="28"/>
        <v>4</v>
      </c>
      <c r="Z88" s="24">
        <f t="shared" si="29"/>
        <v>4</v>
      </c>
      <c r="AA88" s="24">
        <f t="shared" si="30"/>
        <v>1</v>
      </c>
      <c r="AB88" s="25" t="str">
        <f t="shared" si="31"/>
        <v>OK</v>
      </c>
      <c r="AC88" s="24" t="str">
        <f t="shared" si="32"/>
        <v>Not shortlisted</v>
      </c>
      <c r="AD88" s="24" t="str">
        <f>IF(ISNUMBER(SEARCH(" "&amp;LEFT('Scored Shortlist'!B88,FIND(" ",'Scored Shortlist'!B88)-1)&amp;" "," "&amp;'Scored Shortlist'!N88&amp;" ")),"YES","no")</f>
        <v>no</v>
      </c>
    </row>
    <row r="89" spans="1:30" x14ac:dyDescent="0.25">
      <c r="A89" s="24" t="str">
        <f>'Scored Shortlist'!A89</f>
        <v>CV017</v>
      </c>
      <c r="B89" s="24" t="str">
        <f>'Scored Shortlist'!C89</f>
        <v>JD3</v>
      </c>
      <c r="C89" s="24" t="str">
        <f>INDEX(Resumes!$D$2:$D$101,MATCH(A89,Resumes!$A$2:$A$101,0))</f>
        <v>BBA</v>
      </c>
      <c r="D89" s="24">
        <f>INDEX(Resumes!$E$2:$E$101,MATCH(A89,Resumes!$A$2:$A$101,0))</f>
        <v>7.2</v>
      </c>
      <c r="E89" s="24" t="str">
        <f>INDEX(Resumes!$G$2:$G$101,MATCH(A89,Resumes!$A$2:$A$101,0))</f>
        <v>SQL, inventory planning, public speaking, HR analytics, campaign management, negotiation</v>
      </c>
      <c r="F89" s="24" t="str">
        <f>INDEX(Resumes!$I$2:$I$101,MATCH(A89,Resumes!$A$2:$A$101,0))</f>
        <v>Riya Menon, BBA from a tier-2 institute. 7.2 years of experience, most recently at an IT services firm. Key skills: SQL, inventory planning, public speaking, HR analytics, campaign management, negotiation. Achievement: cut reporting time by 40% by automating Excel reports. Career gap: 1-year career break (family).</v>
      </c>
      <c r="G89" s="24" t="str">
        <f t="shared" si="22"/>
        <v>cut reporting time by 40% by automating Excel reports</v>
      </c>
      <c r="H89" s="24">
        <f>INDEX('Scoring Prompt'!$C$22:$C$23,MATCH(B89,'Scoring Prompt'!$A$22:$A$23,0))</f>
        <v>2</v>
      </c>
      <c r="I89" s="24">
        <f>INDEX('Scoring Prompt'!$D$22:$D$23,MATCH(B89,'Scoring Prompt'!$A$22:$A$23,0))</f>
        <v>4</v>
      </c>
      <c r="J89" s="24">
        <f>INDEX('Scoring Prompt'!$B$27:$C$34,MATCH(C89,'Scoring Prompt'!$A$27:$A$34,0),MATCH(B89,'Scoring Prompt'!$B$26:$C$26,0))</f>
        <v>6</v>
      </c>
      <c r="K89" s="24">
        <f>IF(AND(D89&gt;=H89,D89&lt;=I89),'Scoring Prompt'!$B$47,IF(D89&lt;H89,IF(H89-D89&lt;=1,'Scoring Prompt'!$B$48,IF(H89-D89&lt;=2,'Scoring Prompt'!$B$49,'Scoring Prompt'!$B$50)),IF(D89-I89&lt;=2,'Scoring Prompt'!$B$51,'Scoring Prompt'!$B$52)))</f>
        <v>12</v>
      </c>
      <c r="L89" s="24">
        <f>IF(B89="JD3",SUMPRODUCT(--ISNUMBER(SEARCH('Scoring Prompt'!$E$22:$I$22,E89))),SUMPRODUCT(--ISNUMBER(SEARCH('Scoring Prompt'!$E$23:$I$23,E89))))</f>
        <v>0</v>
      </c>
      <c r="M89" s="24">
        <f t="shared" si="23"/>
        <v>0</v>
      </c>
      <c r="N89" s="24">
        <f>INDEX('Scoring Prompt'!$B$38:$C$43,MATCH(G89,'Scoring Prompt'!$A$38:$A$43,0),MATCH(B89,'Scoring Prompt'!$B$37:$C$37,0))</f>
        <v>10</v>
      </c>
      <c r="O89" s="24">
        <f t="shared" si="24"/>
        <v>28</v>
      </c>
      <c r="P89" s="24">
        <f>'Scored Shortlist'!E89</f>
        <v>6</v>
      </c>
      <c r="Q89" s="24">
        <f>'Scored Shortlist'!F89</f>
        <v>12</v>
      </c>
      <c r="R89" s="24">
        <f>'Scored Shortlist'!G89</f>
        <v>4</v>
      </c>
      <c r="S89" s="24">
        <f>'Scored Shortlist'!H89</f>
        <v>10</v>
      </c>
      <c r="T89" s="24">
        <f>'Scored Shortlist'!I89</f>
        <v>32</v>
      </c>
      <c r="U89" s="24">
        <f>IF('Scored Shortlist'!M89="none",0,(LEN('Scored Shortlist'!M89)-LEN(SUBSTITUTE('Scored Shortlist'!M89,"&lt;-","")))/2)</f>
        <v>1</v>
      </c>
      <c r="V89" s="24">
        <f t="shared" si="25"/>
        <v>1</v>
      </c>
      <c r="W89" s="24">
        <f t="shared" si="26"/>
        <v>1</v>
      </c>
      <c r="X89" s="24">
        <f t="shared" si="27"/>
        <v>1</v>
      </c>
      <c r="Y89" s="24">
        <f t="shared" si="28"/>
        <v>4</v>
      </c>
      <c r="Z89" s="24">
        <f t="shared" si="29"/>
        <v>4</v>
      </c>
      <c r="AA89" s="24">
        <f t="shared" si="30"/>
        <v>1</v>
      </c>
      <c r="AB89" s="25" t="str">
        <f t="shared" si="31"/>
        <v>OK</v>
      </c>
      <c r="AC89" s="24" t="str">
        <f t="shared" si="32"/>
        <v>Not shortlisted</v>
      </c>
      <c r="AD89" s="24" t="str">
        <f>IF(ISNUMBER(SEARCH(" "&amp;LEFT('Scored Shortlist'!B89,FIND(" ",'Scored Shortlist'!B89)-1)&amp;" "," "&amp;'Scored Shortlist'!N89&amp;" ")),"YES","no")</f>
        <v>no</v>
      </c>
    </row>
    <row r="90" spans="1:30" x14ac:dyDescent="0.25">
      <c r="A90" s="24" t="str">
        <f>'Scored Shortlist'!A90</f>
        <v>CV064</v>
      </c>
      <c r="B90" s="24" t="str">
        <f>'Scored Shortlist'!C90</f>
        <v>JD3</v>
      </c>
      <c r="C90" s="24" t="str">
        <f>INDEX(Resumes!$D$2:$D$101,MATCH(A90,Resumes!$A$2:$A$101,0))</f>
        <v>MBA Operations</v>
      </c>
      <c r="D90" s="24">
        <f>INDEX(Resumes!$E$2:$E$101,MATCH(A90,Resumes!$A$2:$A$101,0))</f>
        <v>4.7</v>
      </c>
      <c r="E90" s="24" t="str">
        <f>INDEX(Resumes!$G$2:$G$101,MATCH(A90,Resumes!$A$2:$A$101,0))</f>
        <v>labour law, user research, employee relations, recruitment</v>
      </c>
      <c r="F90" s="24" t="str">
        <f>INDEX(Resumes!$I$2:$I$101,MATCH(A90,Resumes!$A$2:$A$101,0))</f>
        <v>Kavya Nair, MBA Operations from a tier-2 institute. 4.7 years of experience, most recently at a fintech start-up. Key skills: labour law, user research, employee relations, recruitment. Achievement: no major achievement listed. Career gap: None.</v>
      </c>
      <c r="G90" s="24" t="str">
        <f t="shared" si="22"/>
        <v>no major achievement listed</v>
      </c>
      <c r="H90" s="24">
        <f>INDEX('Scoring Prompt'!$C$22:$C$23,MATCH(B90,'Scoring Prompt'!$A$22:$A$23,0))</f>
        <v>2</v>
      </c>
      <c r="I90" s="24">
        <f>INDEX('Scoring Prompt'!$D$22:$D$23,MATCH(B90,'Scoring Prompt'!$A$22:$A$23,0))</f>
        <v>4</v>
      </c>
      <c r="J90" s="24">
        <f>INDEX('Scoring Prompt'!$B$27:$C$34,MATCH(C90,'Scoring Prompt'!$A$27:$A$34,0),MATCH(B90,'Scoring Prompt'!$B$26:$C$26,0))</f>
        <v>12</v>
      </c>
      <c r="K90" s="24">
        <f>IF(AND(D90&gt;=H90,D90&lt;=I90),'Scoring Prompt'!$B$47,IF(D90&lt;H90,IF(H90-D90&lt;=1,'Scoring Prompt'!$B$48,IF(H90-D90&lt;=2,'Scoring Prompt'!$B$49,'Scoring Prompt'!$B$50)),IF(D90-I90&lt;=2,'Scoring Prompt'!$B$51,'Scoring Prompt'!$B$52)))</f>
        <v>20</v>
      </c>
      <c r="L90" s="24">
        <f>IF(B90="JD3",SUMPRODUCT(--ISNUMBER(SEARCH('Scoring Prompt'!$E$22:$I$22,E90))),SUMPRODUCT(--ISNUMBER(SEARCH('Scoring Prompt'!$E$23:$I$23,E90))))</f>
        <v>0</v>
      </c>
      <c r="M90" s="24">
        <f t="shared" si="23"/>
        <v>0</v>
      </c>
      <c r="N90" s="24">
        <f>INDEX('Scoring Prompt'!$B$38:$C$43,MATCH(G90,'Scoring Prompt'!$A$38:$A$43,0),MATCH(B90,'Scoring Prompt'!$B$37:$C$37,0))</f>
        <v>0</v>
      </c>
      <c r="O90" s="24">
        <f t="shared" si="24"/>
        <v>32</v>
      </c>
      <c r="P90" s="24">
        <f>'Scored Shortlist'!E90</f>
        <v>12</v>
      </c>
      <c r="Q90" s="24">
        <f>'Scored Shortlist'!F90</f>
        <v>20</v>
      </c>
      <c r="R90" s="24">
        <f>'Scored Shortlist'!G90</f>
        <v>0</v>
      </c>
      <c r="S90" s="24">
        <f>'Scored Shortlist'!H90</f>
        <v>0</v>
      </c>
      <c r="T90" s="24">
        <f>'Scored Shortlist'!I90</f>
        <v>32</v>
      </c>
      <c r="U90" s="24">
        <f>IF('Scored Shortlist'!M90="none",0,(LEN('Scored Shortlist'!M90)-LEN(SUBSTITUTE('Scored Shortlist'!M90,"&lt;-","")))/2)</f>
        <v>0</v>
      </c>
      <c r="V90" s="24">
        <f t="shared" si="25"/>
        <v>1</v>
      </c>
      <c r="W90" s="24">
        <f t="shared" si="26"/>
        <v>1</v>
      </c>
      <c r="X90" s="24">
        <f t="shared" si="27"/>
        <v>1</v>
      </c>
      <c r="Y90" s="24">
        <f t="shared" si="28"/>
        <v>0</v>
      </c>
      <c r="Z90" s="24">
        <f t="shared" si="29"/>
        <v>0</v>
      </c>
      <c r="AA90" s="24">
        <f t="shared" si="30"/>
        <v>1</v>
      </c>
      <c r="AB90" s="25" t="str">
        <f t="shared" si="31"/>
        <v>OK</v>
      </c>
      <c r="AC90" s="24" t="str">
        <f t="shared" si="32"/>
        <v>Not shortlisted</v>
      </c>
      <c r="AD90" s="24" t="str">
        <f>IF(ISNUMBER(SEARCH(" "&amp;LEFT('Scored Shortlist'!B90,FIND(" ",'Scored Shortlist'!B90)-1)&amp;" "," "&amp;'Scored Shortlist'!N90&amp;" ")),"YES","no")</f>
        <v>no</v>
      </c>
    </row>
    <row r="91" spans="1:30" x14ac:dyDescent="0.25">
      <c r="A91" s="24" t="str">
        <f>'Scored Shortlist'!A91</f>
        <v>CV068</v>
      </c>
      <c r="B91" s="24" t="str">
        <f>'Scored Shortlist'!C91</f>
        <v>JD3</v>
      </c>
      <c r="C91" s="24" t="str">
        <f>INDEX(Resumes!$D$2:$D$101,MATCH(A91,Resumes!$A$2:$A$101,0))</f>
        <v>B.Tech + MBA</v>
      </c>
      <c r="D91" s="24">
        <f>INDEX(Resumes!$E$2:$E$101,MATCH(A91,Resumes!$A$2:$A$101,0))</f>
        <v>1.3</v>
      </c>
      <c r="E91" s="24" t="str">
        <f>INDEX(Resumes!$G$2:$G$101,MATCH(A91,Resumes!$A$2:$A$101,0))</f>
        <v>Tableau, campaign management, recruitment, HR analytics, user research, Google Analytics</v>
      </c>
      <c r="F91" s="24" t="str">
        <f>INDEX(Resumes!$I$2:$I$101,MATCH(A91,Resumes!$A$2:$A$101,0))</f>
        <v>Ritu Desai, B.Tech + MBA from a tier-3 institute. 1.3 years of experience, most recently at a consulting firm. Key skills: Tableau, campaign management, recruitment, HR analytics, user research, Google Analytics. Achievement: no major achievement listed. Career gap: None.</v>
      </c>
      <c r="G91" s="24" t="str">
        <f t="shared" si="22"/>
        <v>no major achievement listed</v>
      </c>
      <c r="H91" s="24">
        <f>INDEX('Scoring Prompt'!$C$22:$C$23,MATCH(B91,'Scoring Prompt'!$A$22:$A$23,0))</f>
        <v>2</v>
      </c>
      <c r="I91" s="24">
        <f>INDEX('Scoring Prompt'!$D$22:$D$23,MATCH(B91,'Scoring Prompt'!$A$22:$A$23,0))</f>
        <v>4</v>
      </c>
      <c r="J91" s="24">
        <f>INDEX('Scoring Prompt'!$B$27:$C$34,MATCH(C91,'Scoring Prompt'!$A$27:$A$34,0),MATCH(B91,'Scoring Prompt'!$B$26:$C$26,0))</f>
        <v>12</v>
      </c>
      <c r="K91" s="24">
        <f>IF(AND(D91&gt;=H91,D91&lt;=I91),'Scoring Prompt'!$B$47,IF(D91&lt;H91,IF(H91-D91&lt;=1,'Scoring Prompt'!$B$48,IF(H91-D91&lt;=2,'Scoring Prompt'!$B$49,'Scoring Prompt'!$B$50)),IF(D91-I91&lt;=2,'Scoring Prompt'!$B$51,'Scoring Prompt'!$B$52)))</f>
        <v>15</v>
      </c>
      <c r="L91" s="24">
        <f>IF(B91="JD3",SUMPRODUCT(--ISNUMBER(SEARCH('Scoring Prompt'!$E$22:$I$22,E91))),SUMPRODUCT(--ISNUMBER(SEARCH('Scoring Prompt'!$E$23:$I$23,E91))))</f>
        <v>0</v>
      </c>
      <c r="M91" s="24">
        <f t="shared" si="23"/>
        <v>0</v>
      </c>
      <c r="N91" s="24">
        <f>INDEX('Scoring Prompt'!$B$38:$C$43,MATCH(G91,'Scoring Prompt'!$A$38:$A$43,0),MATCH(B91,'Scoring Prompt'!$B$37:$C$37,0))</f>
        <v>0</v>
      </c>
      <c r="O91" s="24">
        <f t="shared" si="24"/>
        <v>27</v>
      </c>
      <c r="P91" s="24">
        <f>'Scored Shortlist'!E91</f>
        <v>12</v>
      </c>
      <c r="Q91" s="24">
        <f>'Scored Shortlist'!F91</f>
        <v>15</v>
      </c>
      <c r="R91" s="24">
        <f>'Scored Shortlist'!G91</f>
        <v>4</v>
      </c>
      <c r="S91" s="24">
        <f>'Scored Shortlist'!H91</f>
        <v>0</v>
      </c>
      <c r="T91" s="24">
        <f>'Scored Shortlist'!I91</f>
        <v>31</v>
      </c>
      <c r="U91" s="24">
        <f>IF('Scored Shortlist'!M91="none",0,(LEN('Scored Shortlist'!M91)-LEN(SUBSTITUTE('Scored Shortlist'!M91,"&lt;-","")))/2)</f>
        <v>1</v>
      </c>
      <c r="V91" s="24">
        <f t="shared" si="25"/>
        <v>1</v>
      </c>
      <c r="W91" s="24">
        <f t="shared" si="26"/>
        <v>1</v>
      </c>
      <c r="X91" s="24">
        <f t="shared" si="27"/>
        <v>1</v>
      </c>
      <c r="Y91" s="24">
        <f t="shared" si="28"/>
        <v>4</v>
      </c>
      <c r="Z91" s="24">
        <f t="shared" si="29"/>
        <v>4</v>
      </c>
      <c r="AA91" s="24">
        <f t="shared" si="30"/>
        <v>1</v>
      </c>
      <c r="AB91" s="25" t="str">
        <f t="shared" si="31"/>
        <v>OK</v>
      </c>
      <c r="AC91" s="24" t="str">
        <f t="shared" si="32"/>
        <v>Not shortlisted</v>
      </c>
      <c r="AD91" s="24" t="str">
        <f>IF(ISNUMBER(SEARCH(" "&amp;LEFT('Scored Shortlist'!B91,FIND(" ",'Scored Shortlist'!B91)-1)&amp;" "," "&amp;'Scored Shortlist'!N91&amp;" ")),"YES","no")</f>
        <v>no</v>
      </c>
    </row>
    <row r="92" spans="1:30" x14ac:dyDescent="0.25">
      <c r="A92" s="24" t="str">
        <f>'Scored Shortlist'!A92</f>
        <v>CV002</v>
      </c>
      <c r="B92" s="24" t="str">
        <f>'Scored Shortlist'!C92</f>
        <v>JD3</v>
      </c>
      <c r="C92" s="24" t="str">
        <f>INDEX(Resumes!$D$2:$D$101,MATCH(A92,Resumes!$A$2:$A$101,0))</f>
        <v>B.Com</v>
      </c>
      <c r="D92" s="24">
        <f>INDEX(Resumes!$E$2:$E$101,MATCH(A92,Resumes!$A$2:$A$101,0))</f>
        <v>8</v>
      </c>
      <c r="E92" s="24" t="str">
        <f>INDEX(Resumes!$G$2:$G$101,MATCH(A92,Resumes!$A$2:$A$101,0))</f>
        <v>recruitment, Tableau, HR analytics, SQL, Google Analytics</v>
      </c>
      <c r="F92" s="24" t="str">
        <f>INDEX(Resumes!$I$2:$I$101,MATCH(A92,Resumes!$A$2:$A$101,0))</f>
        <v>Swati Das, B.Com from a tier-2 institute. 8.0 years of experience, most recently at an FMCG distributor. Key skills: recruitment, Tableau, HR analytics, SQL, Google Analytics. Achievement: improved vendor on-time delivery from 78% to 92%. Career gap: None.</v>
      </c>
      <c r="G92" s="24" t="str">
        <f t="shared" si="22"/>
        <v>improved vendor on-time delivery from 78% to 92%</v>
      </c>
      <c r="H92" s="24">
        <f>INDEX('Scoring Prompt'!$C$22:$C$23,MATCH(B92,'Scoring Prompt'!$A$22:$A$23,0))</f>
        <v>2</v>
      </c>
      <c r="I92" s="24">
        <f>INDEX('Scoring Prompt'!$D$22:$D$23,MATCH(B92,'Scoring Prompt'!$A$22:$A$23,0))</f>
        <v>4</v>
      </c>
      <c r="J92" s="24">
        <f>INDEX('Scoring Prompt'!$B$27:$C$34,MATCH(C92,'Scoring Prompt'!$A$27:$A$34,0),MATCH(B92,'Scoring Prompt'!$B$26:$C$26,0))</f>
        <v>8</v>
      </c>
      <c r="K92" s="24">
        <f>IF(AND(D92&gt;=H92,D92&lt;=I92),'Scoring Prompt'!$B$47,IF(D92&lt;H92,IF(H92-D92&lt;=1,'Scoring Prompt'!$B$48,IF(H92-D92&lt;=2,'Scoring Prompt'!$B$49,'Scoring Prompt'!$B$50)),IF(D92-I92&lt;=2,'Scoring Prompt'!$B$51,'Scoring Prompt'!$B$52)))</f>
        <v>12</v>
      </c>
      <c r="L92" s="24">
        <f>IF(B92="JD3",SUMPRODUCT(--ISNUMBER(SEARCH('Scoring Prompt'!$E$22:$I$22,E92))),SUMPRODUCT(--ISNUMBER(SEARCH('Scoring Prompt'!$E$23:$I$23,E92))))</f>
        <v>0</v>
      </c>
      <c r="M92" s="24">
        <f t="shared" si="23"/>
        <v>0</v>
      </c>
      <c r="N92" s="24">
        <f>INDEX('Scoring Prompt'!$B$38:$C$43,MATCH(G92,'Scoring Prompt'!$A$38:$A$43,0),MATCH(B92,'Scoring Prompt'!$B$37:$C$37,0))</f>
        <v>4</v>
      </c>
      <c r="O92" s="24">
        <f t="shared" si="24"/>
        <v>24</v>
      </c>
      <c r="P92" s="24">
        <f>'Scored Shortlist'!E92</f>
        <v>8</v>
      </c>
      <c r="Q92" s="24">
        <f>'Scored Shortlist'!F92</f>
        <v>12</v>
      </c>
      <c r="R92" s="24">
        <f>'Scored Shortlist'!G92</f>
        <v>4</v>
      </c>
      <c r="S92" s="24">
        <f>'Scored Shortlist'!H92</f>
        <v>4</v>
      </c>
      <c r="T92" s="24">
        <f>'Scored Shortlist'!I92</f>
        <v>28</v>
      </c>
      <c r="U92" s="24">
        <f>IF('Scored Shortlist'!M92="none",0,(LEN('Scored Shortlist'!M92)-LEN(SUBSTITUTE('Scored Shortlist'!M92,"&lt;-","")))/2)</f>
        <v>1</v>
      </c>
      <c r="V92" s="24">
        <f t="shared" si="25"/>
        <v>1</v>
      </c>
      <c r="W92" s="24">
        <f t="shared" si="26"/>
        <v>1</v>
      </c>
      <c r="X92" s="24">
        <f t="shared" si="27"/>
        <v>1</v>
      </c>
      <c r="Y92" s="24">
        <f t="shared" si="28"/>
        <v>4</v>
      </c>
      <c r="Z92" s="24">
        <f t="shared" si="29"/>
        <v>4</v>
      </c>
      <c r="AA92" s="24">
        <f t="shared" si="30"/>
        <v>1</v>
      </c>
      <c r="AB92" s="25" t="str">
        <f t="shared" si="31"/>
        <v>OK</v>
      </c>
      <c r="AC92" s="24" t="str">
        <f t="shared" si="32"/>
        <v>Not shortlisted</v>
      </c>
      <c r="AD92" s="24" t="str">
        <f>IF(ISNUMBER(SEARCH(" "&amp;LEFT('Scored Shortlist'!B92,FIND(" ",'Scored Shortlist'!B92)-1)&amp;" "," "&amp;'Scored Shortlist'!N92&amp;" ")),"YES","no")</f>
        <v>no</v>
      </c>
    </row>
    <row r="93" spans="1:30" x14ac:dyDescent="0.25">
      <c r="A93" s="24" t="str">
        <f>'Scored Shortlist'!A93</f>
        <v>CV026</v>
      </c>
      <c r="B93" s="24" t="str">
        <f>'Scored Shortlist'!C93</f>
        <v>JD3</v>
      </c>
      <c r="C93" s="24" t="str">
        <f>INDEX(Resumes!$D$2:$D$101,MATCH(A93,Resumes!$A$2:$A$101,0))</f>
        <v>MBA HR</v>
      </c>
      <c r="D93" s="24">
        <f>INDEX(Resumes!$E$2:$E$101,MATCH(A93,Resumes!$A$2:$A$101,0))</f>
        <v>8.5</v>
      </c>
      <c r="E93" s="24" t="str">
        <f>INDEX(Resumes!$G$2:$G$101,MATCH(A93,Resumes!$A$2:$A$101,0))</f>
        <v>Tableau, Python, Google Analytics, public speaking, HR analytics, SQL, employee relations, negotiation</v>
      </c>
      <c r="F93" s="24" t="str">
        <f>INDEX(Resumes!$I$2:$I$101,MATCH(A93,Resumes!$A$2:$A$101,0))</f>
        <v>Vikram Chatterjee, MBA HR from a tier-2 institute. 8.5 years of experience, most recently at a consulting firm. Key skills: Tableau, Python, Google Analytics, public speaking, HR analytics, SQL, employee relations, negotiation. Achievement: no major achievement listed. Career gap: None.</v>
      </c>
      <c r="G93" s="24" t="str">
        <f t="shared" si="22"/>
        <v>no major achievement listed</v>
      </c>
      <c r="H93" s="24">
        <f>INDEX('Scoring Prompt'!$C$22:$C$23,MATCH(B93,'Scoring Prompt'!$A$22:$A$23,0))</f>
        <v>2</v>
      </c>
      <c r="I93" s="24">
        <f>INDEX('Scoring Prompt'!$D$22:$D$23,MATCH(B93,'Scoring Prompt'!$A$22:$A$23,0))</f>
        <v>4</v>
      </c>
      <c r="J93" s="24">
        <f>INDEX('Scoring Prompt'!$B$27:$C$34,MATCH(C93,'Scoring Prompt'!$A$27:$A$34,0),MATCH(B93,'Scoring Prompt'!$B$26:$C$26,0))</f>
        <v>12</v>
      </c>
      <c r="K93" s="24">
        <f>IF(AND(D93&gt;=H93,D93&lt;=I93),'Scoring Prompt'!$B$47,IF(D93&lt;H93,IF(H93-D93&lt;=1,'Scoring Prompt'!$B$48,IF(H93-D93&lt;=2,'Scoring Prompt'!$B$49,'Scoring Prompt'!$B$50)),IF(D93-I93&lt;=2,'Scoring Prompt'!$B$51,'Scoring Prompt'!$B$52)))</f>
        <v>12</v>
      </c>
      <c r="L93" s="24">
        <f>IF(B93="JD3",SUMPRODUCT(--ISNUMBER(SEARCH('Scoring Prompt'!$E$22:$I$22,E93))),SUMPRODUCT(--ISNUMBER(SEARCH('Scoring Prompt'!$E$23:$I$23,E93))))</f>
        <v>0</v>
      </c>
      <c r="M93" s="24">
        <f t="shared" si="23"/>
        <v>0</v>
      </c>
      <c r="N93" s="24">
        <f>INDEX('Scoring Prompt'!$B$38:$C$43,MATCH(G93,'Scoring Prompt'!$A$38:$A$43,0),MATCH(B93,'Scoring Prompt'!$B$37:$C$37,0))</f>
        <v>0</v>
      </c>
      <c r="O93" s="24">
        <f t="shared" si="24"/>
        <v>24</v>
      </c>
      <c r="P93" s="24">
        <f>'Scored Shortlist'!E93</f>
        <v>12</v>
      </c>
      <c r="Q93" s="24">
        <f>'Scored Shortlist'!F93</f>
        <v>12</v>
      </c>
      <c r="R93" s="24">
        <f>'Scored Shortlist'!G93</f>
        <v>4</v>
      </c>
      <c r="S93" s="24">
        <f>'Scored Shortlist'!H93</f>
        <v>0</v>
      </c>
      <c r="T93" s="24">
        <f>'Scored Shortlist'!I93</f>
        <v>28</v>
      </c>
      <c r="U93" s="24">
        <f>IF('Scored Shortlist'!M93="none",0,(LEN('Scored Shortlist'!M93)-LEN(SUBSTITUTE('Scored Shortlist'!M93,"&lt;-","")))/2)</f>
        <v>1</v>
      </c>
      <c r="V93" s="24">
        <f t="shared" si="25"/>
        <v>1</v>
      </c>
      <c r="W93" s="24">
        <f t="shared" si="26"/>
        <v>1</v>
      </c>
      <c r="X93" s="24">
        <f t="shared" si="27"/>
        <v>1</v>
      </c>
      <c r="Y93" s="24">
        <f t="shared" si="28"/>
        <v>4</v>
      </c>
      <c r="Z93" s="24">
        <f t="shared" si="29"/>
        <v>4</v>
      </c>
      <c r="AA93" s="24">
        <f t="shared" si="30"/>
        <v>1</v>
      </c>
      <c r="AB93" s="25" t="str">
        <f t="shared" si="31"/>
        <v>OK</v>
      </c>
      <c r="AC93" s="24" t="str">
        <f t="shared" si="32"/>
        <v>Not shortlisted</v>
      </c>
      <c r="AD93" s="24" t="str">
        <f>IF(ISNUMBER(SEARCH(" "&amp;LEFT('Scored Shortlist'!B93,FIND(" ",'Scored Shortlist'!B93)-1)&amp;" "," "&amp;'Scored Shortlist'!N93&amp;" ")),"YES","no")</f>
        <v>no</v>
      </c>
    </row>
    <row r="94" spans="1:30" x14ac:dyDescent="0.25">
      <c r="A94" s="24" t="str">
        <f>'Scored Shortlist'!A94</f>
        <v>CV048</v>
      </c>
      <c r="B94" s="24" t="str">
        <f>'Scored Shortlist'!C94</f>
        <v>JD3</v>
      </c>
      <c r="C94" s="24" t="str">
        <f>INDEX(Resumes!$D$2:$D$101,MATCH(A94,Resumes!$A$2:$A$101,0))</f>
        <v>BBA</v>
      </c>
      <c r="D94" s="24">
        <f>INDEX(Resumes!$E$2:$E$101,MATCH(A94,Resumes!$A$2:$A$101,0))</f>
        <v>1.1000000000000001</v>
      </c>
      <c r="E94" s="24" t="str">
        <f>INDEX(Resumes!$G$2:$G$101,MATCH(A94,Resumes!$A$2:$A$101,0))</f>
        <v>stakeholder management, Tableau, Google Analytics, user research, public speaking, labour law, inventory planning</v>
      </c>
      <c r="F94" s="24" t="str">
        <f>INDEX(Resumes!$I$2:$I$101,MATCH(A94,Resumes!$A$2:$A$101,0))</f>
        <v>Riya Gupta, BBA from a tier-2 institute. 1.1 years of experience, most recently at an FMCG distributor. Key skills: stakeholder management, Tableau, Google Analytics, user research, public speaking, labour law, inventory planning. Achievement: handled 120 hires in one year. Career gap: 6-month gap (exam preparation).</v>
      </c>
      <c r="G94" s="24" t="str">
        <f t="shared" si="22"/>
        <v>handled 120 hires in one year</v>
      </c>
      <c r="H94" s="24">
        <f>INDEX('Scoring Prompt'!$C$22:$C$23,MATCH(B94,'Scoring Prompt'!$A$22:$A$23,0))</f>
        <v>2</v>
      </c>
      <c r="I94" s="24">
        <f>INDEX('Scoring Prompt'!$D$22:$D$23,MATCH(B94,'Scoring Prompt'!$A$22:$A$23,0))</f>
        <v>4</v>
      </c>
      <c r="J94" s="24">
        <f>INDEX('Scoring Prompt'!$B$27:$C$34,MATCH(C94,'Scoring Prompt'!$A$27:$A$34,0),MATCH(B94,'Scoring Prompt'!$B$26:$C$26,0))</f>
        <v>6</v>
      </c>
      <c r="K94" s="24">
        <f>IF(AND(D94&gt;=H94,D94&lt;=I94),'Scoring Prompt'!$B$47,IF(D94&lt;H94,IF(H94-D94&lt;=1,'Scoring Prompt'!$B$48,IF(H94-D94&lt;=2,'Scoring Prompt'!$B$49,'Scoring Prompt'!$B$50)),IF(D94-I94&lt;=2,'Scoring Prompt'!$B$51,'Scoring Prompt'!$B$52)))</f>
        <v>15</v>
      </c>
      <c r="L94" s="24">
        <f>IF(B94="JD3",SUMPRODUCT(--ISNUMBER(SEARCH('Scoring Prompt'!$E$22:$I$22,E94))),SUMPRODUCT(--ISNUMBER(SEARCH('Scoring Prompt'!$E$23:$I$23,E94))))</f>
        <v>0</v>
      </c>
      <c r="M94" s="24">
        <f t="shared" si="23"/>
        <v>0</v>
      </c>
      <c r="N94" s="24">
        <f>INDEX('Scoring Prompt'!$B$38:$C$43,MATCH(G94,'Scoring Prompt'!$A$38:$A$43,0),MATCH(B94,'Scoring Prompt'!$B$37:$C$37,0))</f>
        <v>3</v>
      </c>
      <c r="O94" s="24">
        <f t="shared" si="24"/>
        <v>24</v>
      </c>
      <c r="P94" s="24">
        <f>'Scored Shortlist'!E94</f>
        <v>6</v>
      </c>
      <c r="Q94" s="24">
        <f>'Scored Shortlist'!F94</f>
        <v>15</v>
      </c>
      <c r="R94" s="24">
        <f>'Scored Shortlist'!G94</f>
        <v>4</v>
      </c>
      <c r="S94" s="24">
        <f>'Scored Shortlist'!H94</f>
        <v>3</v>
      </c>
      <c r="T94" s="24">
        <f>'Scored Shortlist'!I94</f>
        <v>28</v>
      </c>
      <c r="U94" s="24">
        <f>IF('Scored Shortlist'!M94="none",0,(LEN('Scored Shortlist'!M94)-LEN(SUBSTITUTE('Scored Shortlist'!M94,"&lt;-","")))/2)</f>
        <v>1</v>
      </c>
      <c r="V94" s="24">
        <f t="shared" si="25"/>
        <v>1</v>
      </c>
      <c r="W94" s="24">
        <f t="shared" si="26"/>
        <v>1</v>
      </c>
      <c r="X94" s="24">
        <f t="shared" si="27"/>
        <v>1</v>
      </c>
      <c r="Y94" s="24">
        <f t="shared" si="28"/>
        <v>4</v>
      </c>
      <c r="Z94" s="24">
        <f t="shared" si="29"/>
        <v>4</v>
      </c>
      <c r="AA94" s="24">
        <f t="shared" si="30"/>
        <v>1</v>
      </c>
      <c r="AB94" s="25" t="str">
        <f t="shared" si="31"/>
        <v>OK</v>
      </c>
      <c r="AC94" s="24" t="str">
        <f t="shared" si="32"/>
        <v>Not shortlisted</v>
      </c>
      <c r="AD94" s="24" t="str">
        <f>IF(ISNUMBER(SEARCH(" "&amp;LEFT('Scored Shortlist'!B94,FIND(" ",'Scored Shortlist'!B94)-1)&amp;" "," "&amp;'Scored Shortlist'!N94&amp;" ")),"YES","no")</f>
        <v>no</v>
      </c>
    </row>
    <row r="95" spans="1:30" x14ac:dyDescent="0.25">
      <c r="A95" s="24" t="str">
        <f>'Scored Shortlist'!A95</f>
        <v>CV076</v>
      </c>
      <c r="B95" s="24" t="str">
        <f>'Scored Shortlist'!C95</f>
        <v>JD3</v>
      </c>
      <c r="C95" s="24" t="str">
        <f>INDEX(Resumes!$D$2:$D$101,MATCH(A95,Resumes!$A$2:$A$101,0))</f>
        <v>MBA Operations</v>
      </c>
      <c r="D95" s="24">
        <f>INDEX(Resumes!$E$2:$E$101,MATCH(A95,Resumes!$A$2:$A$101,0))</f>
        <v>8.4</v>
      </c>
      <c r="E95" s="24" t="str">
        <f>INDEX(Resumes!$G$2:$G$101,MATCH(A95,Resumes!$A$2:$A$101,0))</f>
        <v>labour law, Python, public speaking, vendor management, agile, Google Analytics</v>
      </c>
      <c r="F95" s="24" t="str">
        <f>INDEX(Resumes!$I$2:$I$101,MATCH(A95,Resumes!$A$2:$A$101,0))</f>
        <v>Imran D'Souza, MBA Operations from a tier-3 institute. 8.4 years of experience, most recently at a fintech start-up. Key skills: labour law, Python, public speaking, vendor management, agile, Google Analytics. Achievement: improved vendor on-time delivery from 78% to 92%. Career gap: 1-year career break (family).</v>
      </c>
      <c r="G95" s="24" t="str">
        <f t="shared" si="22"/>
        <v>improved vendor on-time delivery from 78% to 92%</v>
      </c>
      <c r="H95" s="24">
        <f>INDEX('Scoring Prompt'!$C$22:$C$23,MATCH(B95,'Scoring Prompt'!$A$22:$A$23,0))</f>
        <v>2</v>
      </c>
      <c r="I95" s="24">
        <f>INDEX('Scoring Prompt'!$D$22:$D$23,MATCH(B95,'Scoring Prompt'!$A$22:$A$23,0))</f>
        <v>4</v>
      </c>
      <c r="J95" s="24">
        <f>INDEX('Scoring Prompt'!$B$27:$C$34,MATCH(C95,'Scoring Prompt'!$A$27:$A$34,0),MATCH(B95,'Scoring Prompt'!$B$26:$C$26,0))</f>
        <v>12</v>
      </c>
      <c r="K95" s="24">
        <f>IF(AND(D95&gt;=H95,D95&lt;=I95),'Scoring Prompt'!$B$47,IF(D95&lt;H95,IF(H95-D95&lt;=1,'Scoring Prompt'!$B$48,IF(H95-D95&lt;=2,'Scoring Prompt'!$B$49,'Scoring Prompt'!$B$50)),IF(D95-I95&lt;=2,'Scoring Prompt'!$B$51,'Scoring Prompt'!$B$52)))</f>
        <v>12</v>
      </c>
      <c r="L95" s="24">
        <f>IF(B95="JD3",SUMPRODUCT(--ISNUMBER(SEARCH('Scoring Prompt'!$E$22:$I$22,E95))),SUMPRODUCT(--ISNUMBER(SEARCH('Scoring Prompt'!$E$23:$I$23,E95))))</f>
        <v>0</v>
      </c>
      <c r="M95" s="24">
        <f t="shared" si="23"/>
        <v>0</v>
      </c>
      <c r="N95" s="24">
        <f>INDEX('Scoring Prompt'!$B$38:$C$43,MATCH(G95,'Scoring Prompt'!$A$38:$A$43,0),MATCH(B95,'Scoring Prompt'!$B$37:$C$37,0))</f>
        <v>4</v>
      </c>
      <c r="O95" s="24">
        <f t="shared" si="24"/>
        <v>28</v>
      </c>
      <c r="P95" s="24">
        <f>'Scored Shortlist'!E95</f>
        <v>12</v>
      </c>
      <c r="Q95" s="24">
        <f>'Scored Shortlist'!F95</f>
        <v>12</v>
      </c>
      <c r="R95" s="24">
        <f>'Scored Shortlist'!G95</f>
        <v>0</v>
      </c>
      <c r="S95" s="24">
        <f>'Scored Shortlist'!H95</f>
        <v>4</v>
      </c>
      <c r="T95" s="24">
        <f>'Scored Shortlist'!I95</f>
        <v>28</v>
      </c>
      <c r="U95" s="24">
        <f>IF('Scored Shortlist'!M95="none",0,(LEN('Scored Shortlist'!M95)-LEN(SUBSTITUTE('Scored Shortlist'!M95,"&lt;-","")))/2)</f>
        <v>0</v>
      </c>
      <c r="V95" s="24">
        <f t="shared" si="25"/>
        <v>1</v>
      </c>
      <c r="W95" s="24">
        <f t="shared" si="26"/>
        <v>1</v>
      </c>
      <c r="X95" s="24">
        <f t="shared" si="27"/>
        <v>1</v>
      </c>
      <c r="Y95" s="24">
        <f t="shared" si="28"/>
        <v>0</v>
      </c>
      <c r="Z95" s="24">
        <f t="shared" si="29"/>
        <v>0</v>
      </c>
      <c r="AA95" s="24">
        <f t="shared" si="30"/>
        <v>1</v>
      </c>
      <c r="AB95" s="25" t="str">
        <f t="shared" si="31"/>
        <v>OK</v>
      </c>
      <c r="AC95" s="24" t="str">
        <f t="shared" si="32"/>
        <v>Not shortlisted</v>
      </c>
      <c r="AD95" s="24" t="str">
        <f>IF(ISNUMBER(SEARCH(" "&amp;LEFT('Scored Shortlist'!B95,FIND(" ",'Scored Shortlist'!B95)-1)&amp;" "," "&amp;'Scored Shortlist'!N95&amp;" ")),"YES","no")</f>
        <v>no</v>
      </c>
    </row>
    <row r="96" spans="1:30" x14ac:dyDescent="0.25">
      <c r="A96" s="24" t="str">
        <f>'Scored Shortlist'!A96</f>
        <v>CV001</v>
      </c>
      <c r="B96" s="24" t="str">
        <f>'Scored Shortlist'!C96</f>
        <v>JD3</v>
      </c>
      <c r="C96" s="24" t="str">
        <f>INDEX(Resumes!$D$2:$D$101,MATCH(A96,Resumes!$A$2:$A$101,0))</f>
        <v>B.Tech + MBA</v>
      </c>
      <c r="D96" s="24">
        <f>INDEX(Resumes!$E$2:$E$101,MATCH(A96,Resumes!$A$2:$A$101,0))</f>
        <v>6.4</v>
      </c>
      <c r="E96" s="24" t="str">
        <f>INDEX(Resumes!$G$2:$G$101,MATCH(A96,Resumes!$A$2:$A$101,0))</f>
        <v>vendor management, demand forecasting, Google Analytics, labour law</v>
      </c>
      <c r="F96" s="24" t="str">
        <f>INDEX(Resumes!$I$2:$I$101,MATCH(A96,Resumes!$A$2:$A$101,0))</f>
        <v>Gurpreet Kulkarni, B.Tech + MBA from a tier-2 institute. 6.4 years of experience, most recently at an FMCG distributor. Key skills: vendor management, demand forecasting, Google Analytics, labour law. Achievement: handled 120 hires in one year. Career gap: None.</v>
      </c>
      <c r="G96" s="24" t="str">
        <f t="shared" si="22"/>
        <v>handled 120 hires in one year</v>
      </c>
      <c r="H96" s="24">
        <f>INDEX('Scoring Prompt'!$C$22:$C$23,MATCH(B96,'Scoring Prompt'!$A$22:$A$23,0))</f>
        <v>2</v>
      </c>
      <c r="I96" s="24">
        <f>INDEX('Scoring Prompt'!$D$22:$D$23,MATCH(B96,'Scoring Prompt'!$A$22:$A$23,0))</f>
        <v>4</v>
      </c>
      <c r="J96" s="24">
        <f>INDEX('Scoring Prompt'!$B$27:$C$34,MATCH(C96,'Scoring Prompt'!$A$27:$A$34,0),MATCH(B96,'Scoring Prompt'!$B$26:$C$26,0))</f>
        <v>12</v>
      </c>
      <c r="K96" s="24">
        <f>IF(AND(D96&gt;=H96,D96&lt;=I96),'Scoring Prompt'!$B$47,IF(D96&lt;H96,IF(H96-D96&lt;=1,'Scoring Prompt'!$B$48,IF(H96-D96&lt;=2,'Scoring Prompt'!$B$49,'Scoring Prompt'!$B$50)),IF(D96-I96&lt;=2,'Scoring Prompt'!$B$51,'Scoring Prompt'!$B$52)))</f>
        <v>12</v>
      </c>
      <c r="L96" s="24">
        <f>IF(B96="JD3",SUMPRODUCT(--ISNUMBER(SEARCH('Scoring Prompt'!$E$22:$I$22,E96))),SUMPRODUCT(--ISNUMBER(SEARCH('Scoring Prompt'!$E$23:$I$23,E96))))</f>
        <v>0</v>
      </c>
      <c r="M96" s="24">
        <f t="shared" si="23"/>
        <v>0</v>
      </c>
      <c r="N96" s="24">
        <f>INDEX('Scoring Prompt'!$B$38:$C$43,MATCH(G96,'Scoring Prompt'!$A$38:$A$43,0),MATCH(B96,'Scoring Prompt'!$B$37:$C$37,0))</f>
        <v>3</v>
      </c>
      <c r="O96" s="24">
        <f t="shared" si="24"/>
        <v>27</v>
      </c>
      <c r="P96" s="24">
        <f>'Scored Shortlist'!E96</f>
        <v>12</v>
      </c>
      <c r="Q96" s="24">
        <f>'Scored Shortlist'!F96</f>
        <v>12</v>
      </c>
      <c r="R96" s="24">
        <f>'Scored Shortlist'!G96</f>
        <v>0</v>
      </c>
      <c r="S96" s="24">
        <f>'Scored Shortlist'!H96</f>
        <v>3</v>
      </c>
      <c r="T96" s="24">
        <f>'Scored Shortlist'!I96</f>
        <v>27</v>
      </c>
      <c r="U96" s="24">
        <f>IF('Scored Shortlist'!M96="none",0,(LEN('Scored Shortlist'!M96)-LEN(SUBSTITUTE('Scored Shortlist'!M96,"&lt;-","")))/2)</f>
        <v>0</v>
      </c>
      <c r="V96" s="24">
        <f t="shared" si="25"/>
        <v>1</v>
      </c>
      <c r="W96" s="24">
        <f t="shared" si="26"/>
        <v>1</v>
      </c>
      <c r="X96" s="24">
        <f t="shared" si="27"/>
        <v>1</v>
      </c>
      <c r="Y96" s="24">
        <f t="shared" si="28"/>
        <v>0</v>
      </c>
      <c r="Z96" s="24">
        <f t="shared" si="29"/>
        <v>0</v>
      </c>
      <c r="AA96" s="24">
        <f t="shared" si="30"/>
        <v>1</v>
      </c>
      <c r="AB96" s="25" t="str">
        <f t="shared" si="31"/>
        <v>OK</v>
      </c>
      <c r="AC96" s="24" t="str">
        <f t="shared" si="32"/>
        <v>Not shortlisted</v>
      </c>
      <c r="AD96" s="24" t="str">
        <f>IF(ISNUMBER(SEARCH(" "&amp;LEFT('Scored Shortlist'!B96,FIND(" ",'Scored Shortlist'!B96)-1)&amp;" "," "&amp;'Scored Shortlist'!N96&amp;" ")),"YES","no")</f>
        <v>no</v>
      </c>
    </row>
    <row r="97" spans="1:30" x14ac:dyDescent="0.25">
      <c r="A97" s="24" t="str">
        <f>'Scored Shortlist'!A97</f>
        <v>CV082</v>
      </c>
      <c r="B97" s="24" t="str">
        <f>'Scored Shortlist'!C97</f>
        <v>JD3</v>
      </c>
      <c r="C97" s="24" t="str">
        <f>INDEX(Resumes!$D$2:$D$101,MATCH(A97,Resumes!$A$2:$A$101,0))</f>
        <v>MBA Operations</v>
      </c>
      <c r="D97" s="24">
        <f>INDEX(Resumes!$E$2:$E$101,MATCH(A97,Resumes!$A$2:$A$101,0))</f>
        <v>1.3</v>
      </c>
      <c r="E97" s="24" t="str">
        <f>INDEX(Resumes!$G$2:$G$101,MATCH(A97,Resumes!$A$2:$A$101,0))</f>
        <v>Python, HR analytics, labour law, stakeholder management, inventory planning, SEO, user research</v>
      </c>
      <c r="F97" s="24" t="str">
        <f>INDEX(Resumes!$I$2:$I$101,MATCH(A97,Resumes!$A$2:$A$101,0))</f>
        <v>Diya D'Souza, MBA Operations from a tier-1 institute. 1.3 years of experience, most recently at a retail chain. Key skills: Python, HR analytics, labour law, stakeholder management, inventory planning, SEO, user research. Achievement: no major achievement listed. Career gap: None.</v>
      </c>
      <c r="G97" s="24" t="str">
        <f t="shared" si="22"/>
        <v>no major achievement listed</v>
      </c>
      <c r="H97" s="24">
        <f>INDEX('Scoring Prompt'!$C$22:$C$23,MATCH(B97,'Scoring Prompt'!$A$22:$A$23,0))</f>
        <v>2</v>
      </c>
      <c r="I97" s="24">
        <f>INDEX('Scoring Prompt'!$D$22:$D$23,MATCH(B97,'Scoring Prompt'!$A$22:$A$23,0))</f>
        <v>4</v>
      </c>
      <c r="J97" s="24">
        <f>INDEX('Scoring Prompt'!$B$27:$C$34,MATCH(C97,'Scoring Prompt'!$A$27:$A$34,0),MATCH(B97,'Scoring Prompt'!$B$26:$C$26,0))</f>
        <v>12</v>
      </c>
      <c r="K97" s="24">
        <f>IF(AND(D97&gt;=H97,D97&lt;=I97),'Scoring Prompt'!$B$47,IF(D97&lt;H97,IF(H97-D97&lt;=1,'Scoring Prompt'!$B$48,IF(H97-D97&lt;=2,'Scoring Prompt'!$B$49,'Scoring Prompt'!$B$50)),IF(D97-I97&lt;=2,'Scoring Prompt'!$B$51,'Scoring Prompt'!$B$52)))</f>
        <v>15</v>
      </c>
      <c r="L97" s="24">
        <f>IF(B97="JD3",SUMPRODUCT(--ISNUMBER(SEARCH('Scoring Prompt'!$E$22:$I$22,E97))),SUMPRODUCT(--ISNUMBER(SEARCH('Scoring Prompt'!$E$23:$I$23,E97))))</f>
        <v>0</v>
      </c>
      <c r="M97" s="24">
        <f t="shared" si="23"/>
        <v>0</v>
      </c>
      <c r="N97" s="24">
        <f>INDEX('Scoring Prompt'!$B$38:$C$43,MATCH(G97,'Scoring Prompt'!$A$38:$A$43,0),MATCH(B97,'Scoring Prompt'!$B$37:$C$37,0))</f>
        <v>0</v>
      </c>
      <c r="O97" s="24">
        <f t="shared" si="24"/>
        <v>27</v>
      </c>
      <c r="P97" s="24">
        <f>'Scored Shortlist'!E97</f>
        <v>12</v>
      </c>
      <c r="Q97" s="24">
        <f>'Scored Shortlist'!F97</f>
        <v>15</v>
      </c>
      <c r="R97" s="24">
        <f>'Scored Shortlist'!G97</f>
        <v>0</v>
      </c>
      <c r="S97" s="24">
        <f>'Scored Shortlist'!H97</f>
        <v>0</v>
      </c>
      <c r="T97" s="24">
        <f>'Scored Shortlist'!I97</f>
        <v>27</v>
      </c>
      <c r="U97" s="24">
        <f>IF('Scored Shortlist'!M97="none",0,(LEN('Scored Shortlist'!M97)-LEN(SUBSTITUTE('Scored Shortlist'!M97,"&lt;-","")))/2)</f>
        <v>0</v>
      </c>
      <c r="V97" s="24">
        <f t="shared" si="25"/>
        <v>1</v>
      </c>
      <c r="W97" s="24">
        <f t="shared" si="26"/>
        <v>1</v>
      </c>
      <c r="X97" s="24">
        <f t="shared" si="27"/>
        <v>1</v>
      </c>
      <c r="Y97" s="24">
        <f t="shared" si="28"/>
        <v>0</v>
      </c>
      <c r="Z97" s="24">
        <f t="shared" si="29"/>
        <v>0</v>
      </c>
      <c r="AA97" s="24">
        <f t="shared" si="30"/>
        <v>1</v>
      </c>
      <c r="AB97" s="25" t="str">
        <f t="shared" si="31"/>
        <v>OK</v>
      </c>
      <c r="AC97" s="24" t="str">
        <f t="shared" si="32"/>
        <v>Not shortlisted</v>
      </c>
      <c r="AD97" s="24" t="str">
        <f>IF(ISNUMBER(SEARCH(" "&amp;LEFT('Scored Shortlist'!B97,FIND(" ",'Scored Shortlist'!B97)-1)&amp;" "," "&amp;'Scored Shortlist'!N97&amp;" ")),"YES","no")</f>
        <v>no</v>
      </c>
    </row>
    <row r="98" spans="1:30" x14ac:dyDescent="0.25">
      <c r="A98" s="24" t="str">
        <f>'Scored Shortlist'!A98</f>
        <v>CV074</v>
      </c>
      <c r="B98" s="24" t="str">
        <f>'Scored Shortlist'!C98</f>
        <v>JD3</v>
      </c>
      <c r="C98" s="24" t="str">
        <f>INDEX(Resumes!$D$2:$D$101,MATCH(A98,Resumes!$A$2:$A$101,0))</f>
        <v>BBA</v>
      </c>
      <c r="D98" s="24">
        <f>INDEX(Resumes!$E$2:$E$101,MATCH(A98,Resumes!$A$2:$A$101,0))</f>
        <v>8.3000000000000007</v>
      </c>
      <c r="E98" s="24" t="str">
        <f>INDEX(Resumes!$G$2:$G$101,MATCH(A98,Resumes!$A$2:$A$101,0))</f>
        <v>vendor management, Tableau, SAP MM, agile, user research</v>
      </c>
      <c r="F98" s="24" t="str">
        <f>INDEX(Resumes!$I$2:$I$101,MATCH(A98,Resumes!$A$2:$A$101,0))</f>
        <v>Joseph Gupta, BBA from a tier-3 institute. 8.3 years of experience, most recently at a bank. Key skills: vendor management, Tableau, SAP MM, agile, user research. Achievement: improved vendor on-time delivery from 78% to 92%. Career gap: None.</v>
      </c>
      <c r="G98" s="24" t="str">
        <f t="shared" si="22"/>
        <v>improved vendor on-time delivery from 78% to 92%</v>
      </c>
      <c r="H98" s="24">
        <f>INDEX('Scoring Prompt'!$C$22:$C$23,MATCH(B98,'Scoring Prompt'!$A$22:$A$23,0))</f>
        <v>2</v>
      </c>
      <c r="I98" s="24">
        <f>INDEX('Scoring Prompt'!$D$22:$D$23,MATCH(B98,'Scoring Prompt'!$A$22:$A$23,0))</f>
        <v>4</v>
      </c>
      <c r="J98" s="24">
        <f>INDEX('Scoring Prompt'!$B$27:$C$34,MATCH(C98,'Scoring Prompt'!$A$27:$A$34,0),MATCH(B98,'Scoring Prompt'!$B$26:$C$26,0))</f>
        <v>6</v>
      </c>
      <c r="K98" s="24">
        <f>IF(AND(D98&gt;=H98,D98&lt;=I98),'Scoring Prompt'!$B$47,IF(D98&lt;H98,IF(H98-D98&lt;=1,'Scoring Prompt'!$B$48,IF(H98-D98&lt;=2,'Scoring Prompt'!$B$49,'Scoring Prompt'!$B$50)),IF(D98-I98&lt;=2,'Scoring Prompt'!$B$51,'Scoring Prompt'!$B$52)))</f>
        <v>12</v>
      </c>
      <c r="L98" s="24">
        <f>IF(B98="JD3",SUMPRODUCT(--ISNUMBER(SEARCH('Scoring Prompt'!$E$22:$I$22,E98))),SUMPRODUCT(--ISNUMBER(SEARCH('Scoring Prompt'!$E$23:$I$23,E98))))</f>
        <v>0</v>
      </c>
      <c r="M98" s="24">
        <f t="shared" si="23"/>
        <v>0</v>
      </c>
      <c r="N98" s="24">
        <f>INDEX('Scoring Prompt'!$B$38:$C$43,MATCH(G98,'Scoring Prompt'!$A$38:$A$43,0),MATCH(B98,'Scoring Prompt'!$B$37:$C$37,0))</f>
        <v>4</v>
      </c>
      <c r="O98" s="24">
        <f t="shared" si="24"/>
        <v>22</v>
      </c>
      <c r="P98" s="24">
        <f>'Scored Shortlist'!E98</f>
        <v>6</v>
      </c>
      <c r="Q98" s="24">
        <f>'Scored Shortlist'!F98</f>
        <v>12</v>
      </c>
      <c r="R98" s="24">
        <f>'Scored Shortlist'!G98</f>
        <v>4</v>
      </c>
      <c r="S98" s="24">
        <f>'Scored Shortlist'!H98</f>
        <v>4</v>
      </c>
      <c r="T98" s="24">
        <f>'Scored Shortlist'!I98</f>
        <v>26</v>
      </c>
      <c r="U98" s="24">
        <f>IF('Scored Shortlist'!M98="none",0,(LEN('Scored Shortlist'!M98)-LEN(SUBSTITUTE('Scored Shortlist'!M98,"&lt;-","")))/2)</f>
        <v>1</v>
      </c>
      <c r="V98" s="24">
        <f t="shared" si="25"/>
        <v>1</v>
      </c>
      <c r="W98" s="24">
        <f t="shared" si="26"/>
        <v>1</v>
      </c>
      <c r="X98" s="24">
        <f t="shared" si="27"/>
        <v>1</v>
      </c>
      <c r="Y98" s="24">
        <f t="shared" si="28"/>
        <v>4</v>
      </c>
      <c r="Z98" s="24">
        <f t="shared" si="29"/>
        <v>4</v>
      </c>
      <c r="AA98" s="24">
        <f t="shared" si="30"/>
        <v>1</v>
      </c>
      <c r="AB98" s="25" t="str">
        <f t="shared" si="31"/>
        <v>OK</v>
      </c>
      <c r="AC98" s="24" t="str">
        <f t="shared" si="32"/>
        <v>Not shortlisted</v>
      </c>
      <c r="AD98" s="24" t="str">
        <f>IF(ISNUMBER(SEARCH(" "&amp;LEFT('Scored Shortlist'!B98,FIND(" ",'Scored Shortlist'!B98)-1)&amp;" "," "&amp;'Scored Shortlist'!N98&amp;" ")),"YES","no")</f>
        <v>no</v>
      </c>
    </row>
    <row r="99" spans="1:30" x14ac:dyDescent="0.25">
      <c r="A99" s="24" t="str">
        <f>'Scored Shortlist'!A99</f>
        <v>CV078</v>
      </c>
      <c r="B99" s="24" t="str">
        <f>'Scored Shortlist'!C99</f>
        <v>JD3</v>
      </c>
      <c r="C99" s="24" t="str">
        <f>INDEX(Resumes!$D$2:$D$101,MATCH(A99,Resumes!$A$2:$A$101,0))</f>
        <v>BBA</v>
      </c>
      <c r="D99" s="24">
        <f>INDEX(Resumes!$E$2:$E$101,MATCH(A99,Resumes!$A$2:$A$101,0))</f>
        <v>0.4</v>
      </c>
      <c r="E99" s="24" t="str">
        <f>INDEX(Resumes!$G$2:$G$101,MATCH(A99,Resumes!$A$2:$A$101,0))</f>
        <v>demand forecasting, financial modelling, content writing, vendor management, negotiation, public speaking, recruitment</v>
      </c>
      <c r="F99" s="24" t="str">
        <f>INDEX(Resumes!$I$2:$I$101,MATCH(A99,Resumes!$A$2:$A$101,0))</f>
        <v>Deepak Rao, BBA from a tier-2 institute. 0.4 years of experience, most recently at an IT services firm. Key skills: demand forecasting, financial modelling, content writing, vendor management, negotiation, public speaking, recruitment. Achievement: improved vendor on-time delivery from 78% to 92%. Career gap: 1-year career break (family).</v>
      </c>
      <c r="G99" s="24" t="str">
        <f t="shared" si="22"/>
        <v>improved vendor on-time delivery from 78% to 92%</v>
      </c>
      <c r="H99" s="24">
        <f>INDEX('Scoring Prompt'!$C$22:$C$23,MATCH(B99,'Scoring Prompt'!$A$22:$A$23,0))</f>
        <v>2</v>
      </c>
      <c r="I99" s="24">
        <f>INDEX('Scoring Prompt'!$D$22:$D$23,MATCH(B99,'Scoring Prompt'!$A$22:$A$23,0))</f>
        <v>4</v>
      </c>
      <c r="J99" s="24">
        <f>INDEX('Scoring Prompt'!$B$27:$C$34,MATCH(C99,'Scoring Prompt'!$A$27:$A$34,0),MATCH(B99,'Scoring Prompt'!$B$26:$C$26,0))</f>
        <v>6</v>
      </c>
      <c r="K99" s="24">
        <f>IF(AND(D99&gt;=H99,D99&lt;=I99),'Scoring Prompt'!$B$47,IF(D99&lt;H99,IF(H99-D99&lt;=1,'Scoring Prompt'!$B$48,IF(H99-D99&lt;=2,'Scoring Prompt'!$B$49,'Scoring Prompt'!$B$50)),IF(D99-I99&lt;=2,'Scoring Prompt'!$B$51,'Scoring Prompt'!$B$52)))</f>
        <v>8</v>
      </c>
      <c r="L99" s="24">
        <f>IF(B99="JD3",SUMPRODUCT(--ISNUMBER(SEARCH('Scoring Prompt'!$E$22:$I$22,E99))),SUMPRODUCT(--ISNUMBER(SEARCH('Scoring Prompt'!$E$23:$I$23,E99))))</f>
        <v>1</v>
      </c>
      <c r="M99" s="24">
        <f t="shared" si="23"/>
        <v>8</v>
      </c>
      <c r="N99" s="24">
        <f>INDEX('Scoring Prompt'!$B$38:$C$43,MATCH(G99,'Scoring Prompt'!$A$38:$A$43,0),MATCH(B99,'Scoring Prompt'!$B$37:$C$37,0))</f>
        <v>4</v>
      </c>
      <c r="O99" s="24">
        <f t="shared" si="24"/>
        <v>26</v>
      </c>
      <c r="P99" s="24">
        <f>'Scored Shortlist'!E99</f>
        <v>6</v>
      </c>
      <c r="Q99" s="24">
        <f>'Scored Shortlist'!F99</f>
        <v>8</v>
      </c>
      <c r="R99" s="24">
        <f>'Scored Shortlist'!G99</f>
        <v>8</v>
      </c>
      <c r="S99" s="24">
        <f>'Scored Shortlist'!H99</f>
        <v>4</v>
      </c>
      <c r="T99" s="24">
        <f>'Scored Shortlist'!I99</f>
        <v>26</v>
      </c>
      <c r="U99" s="24">
        <f>IF('Scored Shortlist'!M99="none",0,(LEN('Scored Shortlist'!M99)-LEN(SUBSTITUTE('Scored Shortlist'!M99,"&lt;-","")))/2)</f>
        <v>0</v>
      </c>
      <c r="V99" s="24">
        <f t="shared" si="25"/>
        <v>1</v>
      </c>
      <c r="W99" s="24">
        <f t="shared" si="26"/>
        <v>1</v>
      </c>
      <c r="X99" s="24">
        <f t="shared" si="27"/>
        <v>1</v>
      </c>
      <c r="Y99" s="24">
        <f t="shared" si="28"/>
        <v>0</v>
      </c>
      <c r="Z99" s="24">
        <f t="shared" si="29"/>
        <v>0</v>
      </c>
      <c r="AA99" s="24">
        <f t="shared" si="30"/>
        <v>1</v>
      </c>
      <c r="AB99" s="25" t="str">
        <f t="shared" si="31"/>
        <v>OK</v>
      </c>
      <c r="AC99" s="24" t="str">
        <f t="shared" si="32"/>
        <v>Not shortlisted</v>
      </c>
      <c r="AD99" s="24" t="str">
        <f>IF(ISNUMBER(SEARCH(" "&amp;LEFT('Scored Shortlist'!B99,FIND(" ",'Scored Shortlist'!B99)-1)&amp;" "," "&amp;'Scored Shortlist'!N99&amp;" ")),"YES","no")</f>
        <v>no</v>
      </c>
    </row>
    <row r="100" spans="1:30" x14ac:dyDescent="0.25">
      <c r="A100" s="24" t="str">
        <f>'Scored Shortlist'!A100</f>
        <v>CV037</v>
      </c>
      <c r="B100" s="24" t="str">
        <f>'Scored Shortlist'!C100</f>
        <v>JD3</v>
      </c>
      <c r="C100" s="24" t="str">
        <f>INDEX(Resumes!$D$2:$D$101,MATCH(A100,Resumes!$A$2:$A$101,0))</f>
        <v>BBA</v>
      </c>
      <c r="D100" s="24">
        <f>INDEX(Resumes!$E$2:$E$101,MATCH(A100,Resumes!$A$2:$A$101,0))</f>
        <v>6.6</v>
      </c>
      <c r="E100" s="24" t="str">
        <f>INDEX(Resumes!$G$2:$G$101,MATCH(A100,Resumes!$A$2:$A$101,0))</f>
        <v>Tableau, content writing, HR analytics, Python, SQL, stakeholder management</v>
      </c>
      <c r="F100" s="24" t="str">
        <f>INDEX(Resumes!$I$2:$I$101,MATCH(A100,Resumes!$A$2:$A$101,0))</f>
        <v>Divya Agarwal, BBA from a tier-2 institute. 6.6 years of experience, most recently at an FMCG distributor. Key skills: Tableau, content writing, HR analytics, Python, SQL, stakeholder management. Achievement: handled 120 hires in one year. Career gap: None.</v>
      </c>
      <c r="G100" s="24" t="str">
        <f t="shared" ref="G100:G131" si="33">MID(F100,FIND("Achievement: ",F100)+13,FIND(". Career gap",F100)-FIND("Achievement: ",F100)-13)</f>
        <v>handled 120 hires in one year</v>
      </c>
      <c r="H100" s="24">
        <f>INDEX('Scoring Prompt'!$C$22:$C$23,MATCH(B100,'Scoring Prompt'!$A$22:$A$23,0))</f>
        <v>2</v>
      </c>
      <c r="I100" s="24">
        <f>INDEX('Scoring Prompt'!$D$22:$D$23,MATCH(B100,'Scoring Prompt'!$A$22:$A$23,0))</f>
        <v>4</v>
      </c>
      <c r="J100" s="24">
        <f>INDEX('Scoring Prompt'!$B$27:$C$34,MATCH(C100,'Scoring Prompt'!$A$27:$A$34,0),MATCH(B100,'Scoring Prompt'!$B$26:$C$26,0))</f>
        <v>6</v>
      </c>
      <c r="K100" s="24">
        <f>IF(AND(D100&gt;=H100,D100&lt;=I100),'Scoring Prompt'!$B$47,IF(D100&lt;H100,IF(H100-D100&lt;=1,'Scoring Prompt'!$B$48,IF(H100-D100&lt;=2,'Scoring Prompt'!$B$49,'Scoring Prompt'!$B$50)),IF(D100-I100&lt;=2,'Scoring Prompt'!$B$51,'Scoring Prompt'!$B$52)))</f>
        <v>12</v>
      </c>
      <c r="L100" s="24">
        <f>IF(B100="JD3",SUMPRODUCT(--ISNUMBER(SEARCH('Scoring Prompt'!$E$22:$I$22,E100))),SUMPRODUCT(--ISNUMBER(SEARCH('Scoring Prompt'!$E$23:$I$23,E100))))</f>
        <v>0</v>
      </c>
      <c r="M100" s="24">
        <f t="shared" ref="M100:M131" si="34">8*L100</f>
        <v>0</v>
      </c>
      <c r="N100" s="24">
        <f>INDEX('Scoring Prompt'!$B$38:$C$43,MATCH(G100,'Scoring Prompt'!$A$38:$A$43,0),MATCH(B100,'Scoring Prompt'!$B$37:$C$37,0))</f>
        <v>3</v>
      </c>
      <c r="O100" s="24">
        <f t="shared" ref="O100:O131" si="35">J100+K100+M100+N100</f>
        <v>21</v>
      </c>
      <c r="P100" s="24">
        <f>'Scored Shortlist'!E100</f>
        <v>6</v>
      </c>
      <c r="Q100" s="24">
        <f>'Scored Shortlist'!F100</f>
        <v>12</v>
      </c>
      <c r="R100" s="24">
        <f>'Scored Shortlist'!G100</f>
        <v>4</v>
      </c>
      <c r="S100" s="24">
        <f>'Scored Shortlist'!H100</f>
        <v>3</v>
      </c>
      <c r="T100" s="24">
        <f>'Scored Shortlist'!I100</f>
        <v>25</v>
      </c>
      <c r="U100" s="24">
        <f>IF('Scored Shortlist'!M100="none",0,(LEN('Scored Shortlist'!M100)-LEN(SUBSTITUTE('Scored Shortlist'!M100,"&lt;-","")))/2)</f>
        <v>1</v>
      </c>
      <c r="V100" s="24">
        <f t="shared" ref="V100:V131" si="36">IF(P100=J100,1,0)</f>
        <v>1</v>
      </c>
      <c r="W100" s="24">
        <f t="shared" ref="W100:W131" si="37">IF(Q100=K100,1,0)</f>
        <v>1</v>
      </c>
      <c r="X100" s="24">
        <f t="shared" ref="X100:X131" si="38">IF(S100=N100,1,0)</f>
        <v>1</v>
      </c>
      <c r="Y100" s="24">
        <f t="shared" ref="Y100:Y131" si="39">R100-M100</f>
        <v>4</v>
      </c>
      <c r="Z100" s="24">
        <f t="shared" ref="Z100:Z131" si="40">4*U100</f>
        <v>4</v>
      </c>
      <c r="AA100" s="24">
        <f t="shared" ref="AA100:AA131" si="41">IF(Y100=Z100,1,0)</f>
        <v>1</v>
      </c>
      <c r="AB100" s="25" t="str">
        <f t="shared" ref="AB100:AB131" si="42">IF(V100+W100+X100+AA100=4,"OK","CHECK")</f>
        <v>OK</v>
      </c>
      <c r="AC100" s="24" t="str">
        <f t="shared" ref="AC100:AC131" si="43">IF(AND(O100&gt;=SL_CUT,M100&gt;=SL_SKILL),"Shortlist",IF(AND(O100&gt;=RV_CUT,M100&gt;=RV_SKILL),"Review","Not shortlisted"))</f>
        <v>Not shortlisted</v>
      </c>
      <c r="AD100" s="24" t="str">
        <f>IF(ISNUMBER(SEARCH(" "&amp;LEFT('Scored Shortlist'!B100,FIND(" ",'Scored Shortlist'!B100)-1)&amp;" "," "&amp;'Scored Shortlist'!N100&amp;" ")),"YES","no")</f>
        <v>no</v>
      </c>
    </row>
    <row r="101" spans="1:30" x14ac:dyDescent="0.25">
      <c r="A101" s="24" t="str">
        <f>'Scored Shortlist'!A101</f>
        <v>CV061</v>
      </c>
      <c r="B101" s="24" t="str">
        <f>'Scored Shortlist'!C101</f>
        <v>JD3</v>
      </c>
      <c r="C101" s="24" t="str">
        <f>INDEX(Resumes!$D$2:$D$101,MATCH(A101,Resumes!$A$2:$A$101,0))</f>
        <v>MBA Marketing</v>
      </c>
      <c r="D101" s="24">
        <f>INDEX(Resumes!$E$2:$E$101,MATCH(A101,Resumes!$A$2:$A$101,0))</f>
        <v>0.3</v>
      </c>
      <c r="E101" s="24" t="str">
        <f>INDEX(Resumes!$G$2:$G$101,MATCH(A101,Resumes!$A$2:$A$101,0))</f>
        <v>agile, product roadmap, stakeholder management, recruitment, public speaking</v>
      </c>
      <c r="F101" s="24" t="str">
        <f>INDEX(Resumes!$I$2:$I$101,MATCH(A101,Resumes!$A$2:$A$101,0))</f>
        <v>Deepak Iyer, MBA Marketing from a tier-2 institute. 0.3 years of experience, most recently at an IT services firm. Key skills: agile, product roadmap, stakeholder management, recruitment, public speaking. Achievement: improved vendor on-time delivery from 78% to 92%. Career gap: None.</v>
      </c>
      <c r="G101" s="24" t="str">
        <f t="shared" si="33"/>
        <v>improved vendor on-time delivery from 78% to 92%</v>
      </c>
      <c r="H101" s="24">
        <f>INDEX('Scoring Prompt'!$C$22:$C$23,MATCH(B101,'Scoring Prompt'!$A$22:$A$23,0))</f>
        <v>2</v>
      </c>
      <c r="I101" s="24">
        <f>INDEX('Scoring Prompt'!$D$22:$D$23,MATCH(B101,'Scoring Prompt'!$A$22:$A$23,0))</f>
        <v>4</v>
      </c>
      <c r="J101" s="24">
        <f>INDEX('Scoring Prompt'!$B$27:$C$34,MATCH(C101,'Scoring Prompt'!$A$27:$A$34,0),MATCH(B101,'Scoring Prompt'!$B$26:$C$26,0))</f>
        <v>12</v>
      </c>
      <c r="K101" s="24">
        <f>IF(AND(D101&gt;=H101,D101&lt;=I101),'Scoring Prompt'!$B$47,IF(D101&lt;H101,IF(H101-D101&lt;=1,'Scoring Prompt'!$B$48,IF(H101-D101&lt;=2,'Scoring Prompt'!$B$49,'Scoring Prompt'!$B$50)),IF(D101-I101&lt;=2,'Scoring Prompt'!$B$51,'Scoring Prompt'!$B$52)))</f>
        <v>8</v>
      </c>
      <c r="L101" s="24">
        <f>IF(B101="JD3",SUMPRODUCT(--ISNUMBER(SEARCH('Scoring Prompt'!$E$22:$I$22,E101))),SUMPRODUCT(--ISNUMBER(SEARCH('Scoring Prompt'!$E$23:$I$23,E101))))</f>
        <v>0</v>
      </c>
      <c r="M101" s="24">
        <f t="shared" si="34"/>
        <v>0</v>
      </c>
      <c r="N101" s="24">
        <f>INDEX('Scoring Prompt'!$B$38:$C$43,MATCH(G101,'Scoring Prompt'!$A$38:$A$43,0),MATCH(B101,'Scoring Prompt'!$B$37:$C$37,0))</f>
        <v>4</v>
      </c>
      <c r="O101" s="24">
        <f t="shared" si="35"/>
        <v>24</v>
      </c>
      <c r="P101" s="24">
        <f>'Scored Shortlist'!E101</f>
        <v>12</v>
      </c>
      <c r="Q101" s="24">
        <f>'Scored Shortlist'!F101</f>
        <v>8</v>
      </c>
      <c r="R101" s="24">
        <f>'Scored Shortlist'!G101</f>
        <v>0</v>
      </c>
      <c r="S101" s="24">
        <f>'Scored Shortlist'!H101</f>
        <v>4</v>
      </c>
      <c r="T101" s="24">
        <f>'Scored Shortlist'!I101</f>
        <v>24</v>
      </c>
      <c r="U101" s="24">
        <f>IF('Scored Shortlist'!M101="none",0,(LEN('Scored Shortlist'!M101)-LEN(SUBSTITUTE('Scored Shortlist'!M101,"&lt;-","")))/2)</f>
        <v>0</v>
      </c>
      <c r="V101" s="24">
        <f t="shared" si="36"/>
        <v>1</v>
      </c>
      <c r="W101" s="24">
        <f t="shared" si="37"/>
        <v>1</v>
      </c>
      <c r="X101" s="24">
        <f t="shared" si="38"/>
        <v>1</v>
      </c>
      <c r="Y101" s="24">
        <f t="shared" si="39"/>
        <v>0</v>
      </c>
      <c r="Z101" s="24">
        <f t="shared" si="40"/>
        <v>0</v>
      </c>
      <c r="AA101" s="24">
        <f t="shared" si="41"/>
        <v>1</v>
      </c>
      <c r="AB101" s="25" t="str">
        <f t="shared" si="42"/>
        <v>OK</v>
      </c>
      <c r="AC101" s="24" t="str">
        <f t="shared" si="43"/>
        <v>Not shortlisted</v>
      </c>
      <c r="AD101" s="24" t="str">
        <f>IF(ISNUMBER(SEARCH(" "&amp;LEFT('Scored Shortlist'!B101,FIND(" ",'Scored Shortlist'!B101)-1)&amp;" "," "&amp;'Scored Shortlist'!N101&amp;" ")),"YES","no")</f>
        <v>no</v>
      </c>
    </row>
    <row r="102" spans="1:30" x14ac:dyDescent="0.25">
      <c r="A102" s="24" t="str">
        <f>'Scored Shortlist'!A102</f>
        <v>CV067</v>
      </c>
      <c r="B102" s="24" t="str">
        <f>'Scored Shortlist'!C102</f>
        <v>JD3</v>
      </c>
      <c r="C102" s="24" t="str">
        <f>INDEX(Resumes!$D$2:$D$101,MATCH(A102,Resumes!$A$2:$A$101,0))</f>
        <v>MBA HR</v>
      </c>
      <c r="D102" s="24">
        <f>INDEX(Resumes!$E$2:$E$101,MATCH(A102,Resumes!$A$2:$A$101,0))</f>
        <v>8.9</v>
      </c>
      <c r="E102" s="24" t="str">
        <f>INDEX(Resumes!$G$2:$G$101,MATCH(A102,Resumes!$A$2:$A$101,0))</f>
        <v>demand forecasting, product roadmap, vendor management, HR analytics, public speaking, employee relations, user research, SQL</v>
      </c>
      <c r="F102" s="24" t="str">
        <f>INDEX(Resumes!$I$2:$I$101,MATCH(A102,Resumes!$A$2:$A$101,0))</f>
        <v>Priya Khan, MBA HR from a tier-3 institute. 8.9 years of experience, most recently at a fintech start-up. Key skills: demand forecasting, product roadmap, vendor management, HR analytics, public speaking, employee relations, user research, SQL. Achievement: no major achievement listed. Career gap: 6-month gap (exam preparation).</v>
      </c>
      <c r="G102" s="24" t="str">
        <f t="shared" si="33"/>
        <v>no major achievement listed</v>
      </c>
      <c r="H102" s="24">
        <f>INDEX('Scoring Prompt'!$C$22:$C$23,MATCH(B102,'Scoring Prompt'!$A$22:$A$23,0))</f>
        <v>2</v>
      </c>
      <c r="I102" s="24">
        <f>INDEX('Scoring Prompt'!$D$22:$D$23,MATCH(B102,'Scoring Prompt'!$A$22:$A$23,0))</f>
        <v>4</v>
      </c>
      <c r="J102" s="24">
        <f>INDEX('Scoring Prompt'!$B$27:$C$34,MATCH(C102,'Scoring Prompt'!$A$27:$A$34,0),MATCH(B102,'Scoring Prompt'!$B$26:$C$26,0))</f>
        <v>12</v>
      </c>
      <c r="K102" s="24">
        <f>IF(AND(D102&gt;=H102,D102&lt;=I102),'Scoring Prompt'!$B$47,IF(D102&lt;H102,IF(H102-D102&lt;=1,'Scoring Prompt'!$B$48,IF(H102-D102&lt;=2,'Scoring Prompt'!$B$49,'Scoring Prompt'!$B$50)),IF(D102-I102&lt;=2,'Scoring Prompt'!$B$51,'Scoring Prompt'!$B$52)))</f>
        <v>12</v>
      </c>
      <c r="L102" s="24">
        <f>IF(B102="JD3",SUMPRODUCT(--ISNUMBER(SEARCH('Scoring Prompt'!$E$22:$I$22,E102))),SUMPRODUCT(--ISNUMBER(SEARCH('Scoring Prompt'!$E$23:$I$23,E102))))</f>
        <v>0</v>
      </c>
      <c r="M102" s="24">
        <f t="shared" si="34"/>
        <v>0</v>
      </c>
      <c r="N102" s="24">
        <f>INDEX('Scoring Prompt'!$B$38:$C$43,MATCH(G102,'Scoring Prompt'!$A$38:$A$43,0),MATCH(B102,'Scoring Prompt'!$B$37:$C$37,0))</f>
        <v>0</v>
      </c>
      <c r="O102" s="24">
        <f t="shared" si="35"/>
        <v>24</v>
      </c>
      <c r="P102" s="24">
        <f>'Scored Shortlist'!E102</f>
        <v>12</v>
      </c>
      <c r="Q102" s="24">
        <f>'Scored Shortlist'!F102</f>
        <v>12</v>
      </c>
      <c r="R102" s="24">
        <f>'Scored Shortlist'!G102</f>
        <v>0</v>
      </c>
      <c r="S102" s="24">
        <f>'Scored Shortlist'!H102</f>
        <v>0</v>
      </c>
      <c r="T102" s="24">
        <f>'Scored Shortlist'!I102</f>
        <v>24</v>
      </c>
      <c r="U102" s="24">
        <f>IF('Scored Shortlist'!M102="none",0,(LEN('Scored Shortlist'!M102)-LEN(SUBSTITUTE('Scored Shortlist'!M102,"&lt;-","")))/2)</f>
        <v>0</v>
      </c>
      <c r="V102" s="24">
        <f t="shared" si="36"/>
        <v>1</v>
      </c>
      <c r="W102" s="24">
        <f t="shared" si="37"/>
        <v>1</v>
      </c>
      <c r="X102" s="24">
        <f t="shared" si="38"/>
        <v>1</v>
      </c>
      <c r="Y102" s="24">
        <f t="shared" si="39"/>
        <v>0</v>
      </c>
      <c r="Z102" s="24">
        <f t="shared" si="40"/>
        <v>0</v>
      </c>
      <c r="AA102" s="24">
        <f t="shared" si="41"/>
        <v>1</v>
      </c>
      <c r="AB102" s="25" t="str">
        <f t="shared" si="42"/>
        <v>OK</v>
      </c>
      <c r="AC102" s="24" t="str">
        <f t="shared" si="43"/>
        <v>Not shortlisted</v>
      </c>
      <c r="AD102" s="24" t="str">
        <f>IF(ISNUMBER(SEARCH(" "&amp;LEFT('Scored Shortlist'!B102,FIND(" ",'Scored Shortlist'!B102)-1)&amp;" "," "&amp;'Scored Shortlist'!N102&amp;" ")),"YES","no")</f>
        <v>no</v>
      </c>
    </row>
    <row r="103" spans="1:30" x14ac:dyDescent="0.25">
      <c r="A103" s="24" t="str">
        <f>'Scored Shortlist'!A103</f>
        <v>CV100</v>
      </c>
      <c r="B103" s="24" t="str">
        <f>'Scored Shortlist'!C103</f>
        <v>JD3</v>
      </c>
      <c r="C103" s="24" t="str">
        <f>INDEX(Resumes!$D$2:$D$101,MATCH(A103,Resumes!$A$2:$A$101,0))</f>
        <v>B.Com</v>
      </c>
      <c r="D103" s="24">
        <f>INDEX(Resumes!$E$2:$E$101,MATCH(A103,Resumes!$A$2:$A$101,0))</f>
        <v>1.6</v>
      </c>
      <c r="E103" s="24" t="str">
        <f>INDEX(Resumes!$G$2:$G$101,MATCH(A103,Resumes!$A$2:$A$101,0))</f>
        <v>content writing, product roadmap, labour law, public speaking</v>
      </c>
      <c r="F103" s="24" t="str">
        <f>INDEX(Resumes!$I$2:$I$101,MATCH(A103,Resumes!$A$2:$A$101,0))</f>
        <v>Siddharth Kulkarni, B.Com from a tier-2 institute. 1.6 years of experience, most recently at a fintech start-up. Key skills: content writing, product roadmap, labour law, public speaking. Achievement: no major achievement listed. Career gap: None.</v>
      </c>
      <c r="G103" s="24" t="str">
        <f t="shared" si="33"/>
        <v>no major achievement listed</v>
      </c>
      <c r="H103" s="24">
        <f>INDEX('Scoring Prompt'!$C$22:$C$23,MATCH(B103,'Scoring Prompt'!$A$22:$A$23,0))</f>
        <v>2</v>
      </c>
      <c r="I103" s="24">
        <f>INDEX('Scoring Prompt'!$D$22:$D$23,MATCH(B103,'Scoring Prompt'!$A$22:$A$23,0))</f>
        <v>4</v>
      </c>
      <c r="J103" s="24">
        <f>INDEX('Scoring Prompt'!$B$27:$C$34,MATCH(C103,'Scoring Prompt'!$A$27:$A$34,0),MATCH(B103,'Scoring Prompt'!$B$26:$C$26,0))</f>
        <v>8</v>
      </c>
      <c r="K103" s="24">
        <f>IF(AND(D103&gt;=H103,D103&lt;=I103),'Scoring Prompt'!$B$47,IF(D103&lt;H103,IF(H103-D103&lt;=1,'Scoring Prompt'!$B$48,IF(H103-D103&lt;=2,'Scoring Prompt'!$B$49,'Scoring Prompt'!$B$50)),IF(D103-I103&lt;=2,'Scoring Prompt'!$B$51,'Scoring Prompt'!$B$52)))</f>
        <v>15</v>
      </c>
      <c r="L103" s="24">
        <f>IF(B103="JD3",SUMPRODUCT(--ISNUMBER(SEARCH('Scoring Prompt'!$E$22:$I$22,E103))),SUMPRODUCT(--ISNUMBER(SEARCH('Scoring Prompt'!$E$23:$I$23,E103))))</f>
        <v>0</v>
      </c>
      <c r="M103" s="24">
        <f t="shared" si="34"/>
        <v>0</v>
      </c>
      <c r="N103" s="24">
        <f>INDEX('Scoring Prompt'!$B$38:$C$43,MATCH(G103,'Scoring Prompt'!$A$38:$A$43,0),MATCH(B103,'Scoring Prompt'!$B$37:$C$37,0))</f>
        <v>0</v>
      </c>
      <c r="O103" s="24">
        <f t="shared" si="35"/>
        <v>23</v>
      </c>
      <c r="P103" s="24">
        <f>'Scored Shortlist'!E103</f>
        <v>8</v>
      </c>
      <c r="Q103" s="24">
        <f>'Scored Shortlist'!F103</f>
        <v>15</v>
      </c>
      <c r="R103" s="24">
        <f>'Scored Shortlist'!G103</f>
        <v>0</v>
      </c>
      <c r="S103" s="24">
        <f>'Scored Shortlist'!H103</f>
        <v>0</v>
      </c>
      <c r="T103" s="24">
        <f>'Scored Shortlist'!I103</f>
        <v>23</v>
      </c>
      <c r="U103" s="24">
        <f>IF('Scored Shortlist'!M103="none",0,(LEN('Scored Shortlist'!M103)-LEN(SUBSTITUTE('Scored Shortlist'!M103,"&lt;-","")))/2)</f>
        <v>0</v>
      </c>
      <c r="V103" s="24">
        <f t="shared" si="36"/>
        <v>1</v>
      </c>
      <c r="W103" s="24">
        <f t="shared" si="37"/>
        <v>1</v>
      </c>
      <c r="X103" s="24">
        <f t="shared" si="38"/>
        <v>1</v>
      </c>
      <c r="Y103" s="24">
        <f t="shared" si="39"/>
        <v>0</v>
      </c>
      <c r="Z103" s="24">
        <f t="shared" si="40"/>
        <v>0</v>
      </c>
      <c r="AA103" s="24">
        <f t="shared" si="41"/>
        <v>1</v>
      </c>
      <c r="AB103" s="25" t="str">
        <f t="shared" si="42"/>
        <v>OK</v>
      </c>
      <c r="AC103" s="24" t="str">
        <f t="shared" si="43"/>
        <v>Not shortlisted</v>
      </c>
      <c r="AD103" s="24" t="str">
        <f>IF(ISNUMBER(SEARCH(" "&amp;LEFT('Scored Shortlist'!B103,FIND(" ",'Scored Shortlist'!B103)-1)&amp;" "," "&amp;'Scored Shortlist'!N103&amp;" ")),"YES","no")</f>
        <v>no</v>
      </c>
    </row>
    <row r="104" spans="1:30" x14ac:dyDescent="0.25">
      <c r="A104" s="24" t="str">
        <f>'Scored Shortlist'!A104</f>
        <v>CV086</v>
      </c>
      <c r="B104" s="24" t="str">
        <f>'Scored Shortlist'!C104</f>
        <v>JD5</v>
      </c>
      <c r="C104" s="24" t="str">
        <f>INDEX(Resumes!$D$2:$D$101,MATCH(A104,Resumes!$A$2:$A$101,0))</f>
        <v>B.Tech + MBA</v>
      </c>
      <c r="D104" s="24">
        <f>INDEX(Resumes!$E$2:$E$101,MATCH(A104,Resumes!$A$2:$A$101,0))</f>
        <v>5.4</v>
      </c>
      <c r="E104" s="24" t="str">
        <f>INDEX(Resumes!$G$2:$G$101,MATCH(A104,Resumes!$A$2:$A$101,0))</f>
        <v>Tableau, SQL, product roadmap, agile</v>
      </c>
      <c r="F104" s="24" t="str">
        <f>INDEX(Resumes!$I$2:$I$101,MATCH(A104,Resumes!$A$2:$A$101,0))</f>
        <v>Simran Reddy, B.Tech + MBA from a tier-2 institute. 5.4 years of experience, most recently at a fintech start-up. Key skills: Tableau, SQL, product roadmap, agile. Achievement: improved vendor on-time delivery from 78% to 92%. Career gap: None.</v>
      </c>
      <c r="G104" s="24" t="str">
        <f t="shared" si="33"/>
        <v>improved vendor on-time delivery from 78% to 92%</v>
      </c>
      <c r="H104" s="24">
        <f>INDEX('Scoring Prompt'!$C$22:$C$23,MATCH(B104,'Scoring Prompt'!$A$22:$A$23,0))</f>
        <v>3</v>
      </c>
      <c r="I104" s="24">
        <f>INDEX('Scoring Prompt'!$D$22:$D$23,MATCH(B104,'Scoring Prompt'!$A$22:$A$23,0))</f>
        <v>6</v>
      </c>
      <c r="J104" s="24">
        <f>INDEX('Scoring Prompt'!$B$27:$C$34,MATCH(C104,'Scoring Prompt'!$A$27:$A$34,0),MATCH(B104,'Scoring Prompt'!$B$26:$C$26,0))</f>
        <v>25</v>
      </c>
      <c r="K104" s="24">
        <f>IF(AND(D104&gt;=H104,D104&lt;=I104),'Scoring Prompt'!$B$47,IF(D104&lt;H104,IF(H104-D104&lt;=1,'Scoring Prompt'!$B$48,IF(H104-D104&lt;=2,'Scoring Prompt'!$B$49,'Scoring Prompt'!$B$50)),IF(D104-I104&lt;=2,'Scoring Prompt'!$B$51,'Scoring Prompt'!$B$52)))</f>
        <v>25</v>
      </c>
      <c r="L104" s="24">
        <f>IF(B104="JD3",SUMPRODUCT(--ISNUMBER(SEARCH('Scoring Prompt'!$E$22:$I$22,E104))),SUMPRODUCT(--ISNUMBER(SEARCH('Scoring Prompt'!$E$23:$I$23,E104))))</f>
        <v>3</v>
      </c>
      <c r="M104" s="24">
        <f t="shared" si="34"/>
        <v>24</v>
      </c>
      <c r="N104" s="24">
        <f>INDEX('Scoring Prompt'!$B$38:$C$43,MATCH(G104,'Scoring Prompt'!$A$38:$A$43,0),MATCH(B104,'Scoring Prompt'!$B$37:$C$37,0))</f>
        <v>4</v>
      </c>
      <c r="O104" s="24">
        <f t="shared" si="35"/>
        <v>78</v>
      </c>
      <c r="P104" s="24">
        <f>'Scored Shortlist'!E104</f>
        <v>25</v>
      </c>
      <c r="Q104" s="24">
        <f>'Scored Shortlist'!F104</f>
        <v>25</v>
      </c>
      <c r="R104" s="24">
        <f>'Scored Shortlist'!G104</f>
        <v>28</v>
      </c>
      <c r="S104" s="24">
        <f>'Scored Shortlist'!H104</f>
        <v>4</v>
      </c>
      <c r="T104" s="24">
        <f>'Scored Shortlist'!I104</f>
        <v>82</v>
      </c>
      <c r="U104" s="24">
        <f>IF('Scored Shortlist'!M104="none",0,(LEN('Scored Shortlist'!M104)-LEN(SUBSTITUTE('Scored Shortlist'!M104,"&lt;-","")))/2)</f>
        <v>1</v>
      </c>
      <c r="V104" s="24">
        <f t="shared" si="36"/>
        <v>1</v>
      </c>
      <c r="W104" s="24">
        <f t="shared" si="37"/>
        <v>1</v>
      </c>
      <c r="X104" s="24">
        <f t="shared" si="38"/>
        <v>1</v>
      </c>
      <c r="Y104" s="24">
        <f t="shared" si="39"/>
        <v>4</v>
      </c>
      <c r="Z104" s="24">
        <f t="shared" si="40"/>
        <v>4</v>
      </c>
      <c r="AA104" s="24">
        <f t="shared" si="41"/>
        <v>1</v>
      </c>
      <c r="AB104" s="25" t="str">
        <f t="shared" si="42"/>
        <v>OK</v>
      </c>
      <c r="AC104" s="24" t="str">
        <f t="shared" si="43"/>
        <v>Shortlist</v>
      </c>
      <c r="AD104" s="24" t="str">
        <f>IF(ISNUMBER(SEARCH(" "&amp;LEFT('Scored Shortlist'!B104,FIND(" ",'Scored Shortlist'!B104)-1)&amp;" "," "&amp;'Scored Shortlist'!N104&amp;" ")),"YES","no")</f>
        <v>no</v>
      </c>
    </row>
    <row r="105" spans="1:30" x14ac:dyDescent="0.25">
      <c r="A105" s="24" t="str">
        <f>'Scored Shortlist'!A105</f>
        <v>CV080</v>
      </c>
      <c r="B105" s="24" t="str">
        <f>'Scored Shortlist'!C105</f>
        <v>JD5</v>
      </c>
      <c r="C105" s="24" t="str">
        <f>INDEX(Resumes!$D$2:$D$101,MATCH(A105,Resumes!$A$2:$A$101,0))</f>
        <v>B.Tech + MBA</v>
      </c>
      <c r="D105" s="24">
        <f>INDEX(Resumes!$E$2:$E$101,MATCH(A105,Resumes!$A$2:$A$101,0))</f>
        <v>6.1</v>
      </c>
      <c r="E105" s="24" t="str">
        <f>INDEX(Resumes!$G$2:$G$101,MATCH(A105,Resumes!$A$2:$A$101,0))</f>
        <v>SQL, demand forecasting, user research, Power BI, valuation, Tableau, vendor management, UPI/payments</v>
      </c>
      <c r="F105" s="24" t="str">
        <f>INDEX(Resumes!$I$2:$I$101,MATCH(A105,Resumes!$A$2:$A$101,0))</f>
        <v>Kabir Das, B.Tech + MBA from a tier-3 institute. 6.1 years of experience, most recently at an IT services firm. Key skills: SQL, demand forecasting, user research, Power BI, valuation, Tableau, vendor management, UPI/payments. Achievement: built a Power BI sales dashboard used by 30 managers. Career gap: None.</v>
      </c>
      <c r="G105" s="24" t="str">
        <f t="shared" si="33"/>
        <v>built a Power BI sales dashboard used by 30 managers</v>
      </c>
      <c r="H105" s="24">
        <f>INDEX('Scoring Prompt'!$C$22:$C$23,MATCH(B105,'Scoring Prompt'!$A$22:$A$23,0))</f>
        <v>3</v>
      </c>
      <c r="I105" s="24">
        <f>INDEX('Scoring Prompt'!$D$22:$D$23,MATCH(B105,'Scoring Prompt'!$A$22:$A$23,0))</f>
        <v>6</v>
      </c>
      <c r="J105" s="24">
        <f>INDEX('Scoring Prompt'!$B$27:$C$34,MATCH(C105,'Scoring Prompt'!$A$27:$A$34,0),MATCH(B105,'Scoring Prompt'!$B$26:$C$26,0))</f>
        <v>25</v>
      </c>
      <c r="K105" s="24">
        <f>IF(AND(D105&gt;=H105,D105&lt;=I105),'Scoring Prompt'!$B$47,IF(D105&lt;H105,IF(H105-D105&lt;=1,'Scoring Prompt'!$B$48,IF(H105-D105&lt;=2,'Scoring Prompt'!$B$49,'Scoring Prompt'!$B$50)),IF(D105-I105&lt;=2,'Scoring Prompt'!$B$51,'Scoring Prompt'!$B$52)))</f>
        <v>20</v>
      </c>
      <c r="L105" s="24">
        <f>IF(B105="JD3",SUMPRODUCT(--ISNUMBER(SEARCH('Scoring Prompt'!$E$22:$I$22,E105))),SUMPRODUCT(--ISNUMBER(SEARCH('Scoring Prompt'!$E$23:$I$23,E105))))</f>
        <v>3</v>
      </c>
      <c r="M105" s="24">
        <f t="shared" si="34"/>
        <v>24</v>
      </c>
      <c r="N105" s="24">
        <f>INDEX('Scoring Prompt'!$B$38:$C$43,MATCH(G105,'Scoring Prompt'!$A$38:$A$43,0),MATCH(B105,'Scoring Prompt'!$B$37:$C$37,0))</f>
        <v>7</v>
      </c>
      <c r="O105" s="24">
        <f t="shared" si="35"/>
        <v>76</v>
      </c>
      <c r="P105" s="24">
        <f>'Scored Shortlist'!E105</f>
        <v>25</v>
      </c>
      <c r="Q105" s="24">
        <f>'Scored Shortlist'!F105</f>
        <v>20</v>
      </c>
      <c r="R105" s="24">
        <f>'Scored Shortlist'!G105</f>
        <v>24</v>
      </c>
      <c r="S105" s="24">
        <f>'Scored Shortlist'!H105</f>
        <v>7</v>
      </c>
      <c r="T105" s="24">
        <f>'Scored Shortlist'!I105</f>
        <v>76</v>
      </c>
      <c r="U105" s="24">
        <f>IF('Scored Shortlist'!M105="none",0,(LEN('Scored Shortlist'!M105)-LEN(SUBSTITUTE('Scored Shortlist'!M105,"&lt;-","")))/2)</f>
        <v>0</v>
      </c>
      <c r="V105" s="24">
        <f t="shared" si="36"/>
        <v>1</v>
      </c>
      <c r="W105" s="24">
        <f t="shared" si="37"/>
        <v>1</v>
      </c>
      <c r="X105" s="24">
        <f t="shared" si="38"/>
        <v>1</v>
      </c>
      <c r="Y105" s="24">
        <f t="shared" si="39"/>
        <v>0</v>
      </c>
      <c r="Z105" s="24">
        <f t="shared" si="40"/>
        <v>0</v>
      </c>
      <c r="AA105" s="24">
        <f t="shared" si="41"/>
        <v>1</v>
      </c>
      <c r="AB105" s="25" t="str">
        <f t="shared" si="42"/>
        <v>OK</v>
      </c>
      <c r="AC105" s="24" t="str">
        <f t="shared" si="43"/>
        <v>Shortlist</v>
      </c>
      <c r="AD105" s="24" t="str">
        <f>IF(ISNUMBER(SEARCH(" "&amp;LEFT('Scored Shortlist'!B105,FIND(" ",'Scored Shortlist'!B105)-1)&amp;" "," "&amp;'Scored Shortlist'!N105&amp;" ")),"YES","no")</f>
        <v>no</v>
      </c>
    </row>
    <row r="106" spans="1:30" x14ac:dyDescent="0.25">
      <c r="A106" s="24" t="str">
        <f>'Scored Shortlist'!A106</f>
        <v>CV056</v>
      </c>
      <c r="B106" s="24" t="str">
        <f>'Scored Shortlist'!C106</f>
        <v>JD5</v>
      </c>
      <c r="C106" s="24" t="str">
        <f>INDEX(Resumes!$D$2:$D$101,MATCH(A106,Resumes!$A$2:$A$101,0))</f>
        <v>B.Tech + MBA</v>
      </c>
      <c r="D106" s="24">
        <f>INDEX(Resumes!$E$2:$E$101,MATCH(A106,Resumes!$A$2:$A$101,0))</f>
        <v>5.9</v>
      </c>
      <c r="E106" s="24" t="str">
        <f>INDEX(Resumes!$G$2:$G$101,MATCH(A106,Resumes!$A$2:$A$101,0))</f>
        <v>SEO, product roadmap, Tableau, SQL, recruitment, content writing</v>
      </c>
      <c r="F106" s="24" t="str">
        <f>INDEX(Resumes!$I$2:$I$101,MATCH(A106,Resumes!$A$2:$A$101,0))</f>
        <v>Gurpreet Iyer, B.Tech + MBA from a tier-3 institute. 5.9 years of experience, most recently at a consulting firm. Key skills: SEO, product roadmap, Tableau, SQL, recruitment, content writing. Achievement: built a Power BI sales dashboard used by 30 managers. Career gap: None.</v>
      </c>
      <c r="G106" s="24" t="str">
        <f t="shared" si="33"/>
        <v>built a Power BI sales dashboard used by 30 managers</v>
      </c>
      <c r="H106" s="24">
        <f>INDEX('Scoring Prompt'!$C$22:$C$23,MATCH(B106,'Scoring Prompt'!$A$22:$A$23,0))</f>
        <v>3</v>
      </c>
      <c r="I106" s="24">
        <f>INDEX('Scoring Prompt'!$D$22:$D$23,MATCH(B106,'Scoring Prompt'!$A$22:$A$23,0))</f>
        <v>6</v>
      </c>
      <c r="J106" s="24">
        <f>INDEX('Scoring Prompt'!$B$27:$C$34,MATCH(C106,'Scoring Prompt'!$A$27:$A$34,0),MATCH(B106,'Scoring Prompt'!$B$26:$C$26,0))</f>
        <v>25</v>
      </c>
      <c r="K106" s="24">
        <f>IF(AND(D106&gt;=H106,D106&lt;=I106),'Scoring Prompt'!$B$47,IF(D106&lt;H106,IF(H106-D106&lt;=1,'Scoring Prompt'!$B$48,IF(H106-D106&lt;=2,'Scoring Prompt'!$B$49,'Scoring Prompt'!$B$50)),IF(D106-I106&lt;=2,'Scoring Prompt'!$B$51,'Scoring Prompt'!$B$52)))</f>
        <v>25</v>
      </c>
      <c r="L106" s="24">
        <f>IF(B106="JD3",SUMPRODUCT(--ISNUMBER(SEARCH('Scoring Prompt'!$E$22:$I$22,E106))),SUMPRODUCT(--ISNUMBER(SEARCH('Scoring Prompt'!$E$23:$I$23,E106))))</f>
        <v>2</v>
      </c>
      <c r="M106" s="24">
        <f t="shared" si="34"/>
        <v>16</v>
      </c>
      <c r="N106" s="24">
        <f>INDEX('Scoring Prompt'!$B$38:$C$43,MATCH(G106,'Scoring Prompt'!$A$38:$A$43,0),MATCH(B106,'Scoring Prompt'!$B$37:$C$37,0))</f>
        <v>7</v>
      </c>
      <c r="O106" s="24">
        <f t="shared" si="35"/>
        <v>73</v>
      </c>
      <c r="P106" s="24">
        <f>'Scored Shortlist'!E106</f>
        <v>25</v>
      </c>
      <c r="Q106" s="24">
        <f>'Scored Shortlist'!F106</f>
        <v>25</v>
      </c>
      <c r="R106" s="24">
        <f>'Scored Shortlist'!G106</f>
        <v>16</v>
      </c>
      <c r="S106" s="24">
        <f>'Scored Shortlist'!H106</f>
        <v>7</v>
      </c>
      <c r="T106" s="24">
        <f>'Scored Shortlist'!I106</f>
        <v>73</v>
      </c>
      <c r="U106" s="24">
        <f>IF('Scored Shortlist'!M106="none",0,(LEN('Scored Shortlist'!M106)-LEN(SUBSTITUTE('Scored Shortlist'!M106,"&lt;-","")))/2)</f>
        <v>0</v>
      </c>
      <c r="V106" s="24">
        <f t="shared" si="36"/>
        <v>1</v>
      </c>
      <c r="W106" s="24">
        <f t="shared" si="37"/>
        <v>1</v>
      </c>
      <c r="X106" s="24">
        <f t="shared" si="38"/>
        <v>1</v>
      </c>
      <c r="Y106" s="24">
        <f t="shared" si="39"/>
        <v>0</v>
      </c>
      <c r="Z106" s="24">
        <f t="shared" si="40"/>
        <v>0</v>
      </c>
      <c r="AA106" s="24">
        <f t="shared" si="41"/>
        <v>1</v>
      </c>
      <c r="AB106" s="25" t="str">
        <f t="shared" si="42"/>
        <v>OK</v>
      </c>
      <c r="AC106" s="24" t="str">
        <f t="shared" si="43"/>
        <v>Shortlist</v>
      </c>
      <c r="AD106" s="24" t="str">
        <f>IF(ISNUMBER(SEARCH(" "&amp;LEFT('Scored Shortlist'!B106,FIND(" ",'Scored Shortlist'!B106)-1)&amp;" "," "&amp;'Scored Shortlist'!N106&amp;" ")),"YES","no")</f>
        <v>no</v>
      </c>
    </row>
    <row r="107" spans="1:30" x14ac:dyDescent="0.25">
      <c r="A107" s="24" t="str">
        <f>'Scored Shortlist'!A107</f>
        <v>CV052</v>
      </c>
      <c r="B107" s="24" t="str">
        <f>'Scored Shortlist'!C107</f>
        <v>JD5</v>
      </c>
      <c r="C107" s="24" t="str">
        <f>INDEX(Resumes!$D$2:$D$101,MATCH(A107,Resumes!$A$2:$A$101,0))</f>
        <v>B.Tech + MBA</v>
      </c>
      <c r="D107" s="24">
        <f>INDEX(Resumes!$E$2:$E$101,MATCH(A107,Resumes!$A$2:$A$101,0))</f>
        <v>3.2</v>
      </c>
      <c r="E107" s="24" t="str">
        <f>INDEX(Resumes!$G$2:$G$101,MATCH(A107,Resumes!$A$2:$A$101,0))</f>
        <v>recruitment, Tableau, financial modelling, product roadmap, agile, inventory planning</v>
      </c>
      <c r="F107" s="24" t="str">
        <f>INDEX(Resumes!$I$2:$I$101,MATCH(A107,Resumes!$A$2:$A$101,0))</f>
        <v>Sneha Verma, B.Tech + MBA from a tier-3 institute. 3.2 years of experience, most recently at a manufacturing company. Key skills: recruitment, Tableau, financial modelling, product roadmap, agile, inventory planning. Achievement: cut reporting time by 40% by automating Excel reports. Career gap: None.</v>
      </c>
      <c r="G107" s="24" t="str">
        <f t="shared" si="33"/>
        <v>cut reporting time by 40% by automating Excel reports</v>
      </c>
      <c r="H107" s="24">
        <f>INDEX('Scoring Prompt'!$C$22:$C$23,MATCH(B107,'Scoring Prompt'!$A$22:$A$23,0))</f>
        <v>3</v>
      </c>
      <c r="I107" s="24">
        <f>INDEX('Scoring Prompt'!$D$22:$D$23,MATCH(B107,'Scoring Prompt'!$A$22:$A$23,0))</f>
        <v>6</v>
      </c>
      <c r="J107" s="24">
        <f>INDEX('Scoring Prompt'!$B$27:$C$34,MATCH(C107,'Scoring Prompt'!$A$27:$A$34,0),MATCH(B107,'Scoring Prompt'!$B$26:$C$26,0))</f>
        <v>25</v>
      </c>
      <c r="K107" s="24">
        <f>IF(AND(D107&gt;=H107,D107&lt;=I107),'Scoring Prompt'!$B$47,IF(D107&lt;H107,IF(H107-D107&lt;=1,'Scoring Prompt'!$B$48,IF(H107-D107&lt;=2,'Scoring Prompt'!$B$49,'Scoring Prompt'!$B$50)),IF(D107-I107&lt;=2,'Scoring Prompt'!$B$51,'Scoring Prompt'!$B$52)))</f>
        <v>25</v>
      </c>
      <c r="L107" s="24">
        <f>IF(B107="JD3",SUMPRODUCT(--ISNUMBER(SEARCH('Scoring Prompt'!$E$22:$I$22,E107))),SUMPRODUCT(--ISNUMBER(SEARCH('Scoring Prompt'!$E$23:$I$23,E107))))</f>
        <v>2</v>
      </c>
      <c r="M107" s="24">
        <f t="shared" si="34"/>
        <v>16</v>
      </c>
      <c r="N107" s="24">
        <f>INDEX('Scoring Prompt'!$B$38:$C$43,MATCH(G107,'Scoring Prompt'!$A$38:$A$43,0),MATCH(B107,'Scoring Prompt'!$B$37:$C$37,0))</f>
        <v>6</v>
      </c>
      <c r="O107" s="24">
        <f t="shared" si="35"/>
        <v>72</v>
      </c>
      <c r="P107" s="24">
        <f>'Scored Shortlist'!E107</f>
        <v>25</v>
      </c>
      <c r="Q107" s="24">
        <f>'Scored Shortlist'!F107</f>
        <v>25</v>
      </c>
      <c r="R107" s="24">
        <f>'Scored Shortlist'!G107</f>
        <v>16</v>
      </c>
      <c r="S107" s="24">
        <f>'Scored Shortlist'!H107</f>
        <v>6</v>
      </c>
      <c r="T107" s="24">
        <f>'Scored Shortlist'!I107</f>
        <v>72</v>
      </c>
      <c r="U107" s="24">
        <f>IF('Scored Shortlist'!M107="none",0,(LEN('Scored Shortlist'!M107)-LEN(SUBSTITUTE('Scored Shortlist'!M107,"&lt;-","")))/2)</f>
        <v>0</v>
      </c>
      <c r="V107" s="24">
        <f t="shared" si="36"/>
        <v>1</v>
      </c>
      <c r="W107" s="24">
        <f t="shared" si="37"/>
        <v>1</v>
      </c>
      <c r="X107" s="24">
        <f t="shared" si="38"/>
        <v>1</v>
      </c>
      <c r="Y107" s="24">
        <f t="shared" si="39"/>
        <v>0</v>
      </c>
      <c r="Z107" s="24">
        <f t="shared" si="40"/>
        <v>0</v>
      </c>
      <c r="AA107" s="24">
        <f t="shared" si="41"/>
        <v>1</v>
      </c>
      <c r="AB107" s="25" t="str">
        <f t="shared" si="42"/>
        <v>OK</v>
      </c>
      <c r="AC107" s="24" t="str">
        <f t="shared" si="43"/>
        <v>Shortlist</v>
      </c>
      <c r="AD107" s="24" t="str">
        <f>IF(ISNUMBER(SEARCH(" "&amp;LEFT('Scored Shortlist'!B107,FIND(" ",'Scored Shortlist'!B107)-1)&amp;" "," "&amp;'Scored Shortlist'!N107&amp;" ")),"YES","no")</f>
        <v>no</v>
      </c>
    </row>
    <row r="108" spans="1:30" x14ac:dyDescent="0.25">
      <c r="A108" s="24" t="str">
        <f>'Scored Shortlist'!A108</f>
        <v>CV040</v>
      </c>
      <c r="B108" s="24" t="str">
        <f>'Scored Shortlist'!C108</f>
        <v>JD5</v>
      </c>
      <c r="C108" s="24" t="str">
        <f>INDEX(Resumes!$D$2:$D$101,MATCH(A108,Resumes!$A$2:$A$101,0))</f>
        <v>MBA Finance</v>
      </c>
      <c r="D108" s="24">
        <f>INDEX(Resumes!$E$2:$E$101,MATCH(A108,Resumes!$A$2:$A$101,0))</f>
        <v>5.6</v>
      </c>
      <c r="E108" s="24" t="str">
        <f>INDEX(Resumes!$G$2:$G$101,MATCH(A108,Resumes!$A$2:$A$101,0))</f>
        <v>product roadmap, A/B testing, Power BI, agile, demand forecasting, campaign management</v>
      </c>
      <c r="F108" s="24" t="str">
        <f>INDEX(Resumes!$I$2:$I$101,MATCH(A108,Resumes!$A$2:$A$101,0))</f>
        <v>Deepak Desai, MBA Finance from a tier-1 institute. 5.6 years of experience, most recently at a retail chain. Key skills: product roadmap, A/B testing, Power BI, agile, demand forecasting, campaign management. Achievement: built a Power BI sales dashboard used by 30 managers. Career gap: 6-month gap (exam preparation).</v>
      </c>
      <c r="G108" s="24" t="str">
        <f t="shared" si="33"/>
        <v>built a Power BI sales dashboard used by 30 managers</v>
      </c>
      <c r="H108" s="24">
        <f>INDEX('Scoring Prompt'!$C$22:$C$23,MATCH(B108,'Scoring Prompt'!$A$22:$A$23,0))</f>
        <v>3</v>
      </c>
      <c r="I108" s="24">
        <f>INDEX('Scoring Prompt'!$D$22:$D$23,MATCH(B108,'Scoring Prompt'!$A$22:$A$23,0))</f>
        <v>6</v>
      </c>
      <c r="J108" s="24">
        <f>INDEX('Scoring Prompt'!$B$27:$C$34,MATCH(C108,'Scoring Prompt'!$A$27:$A$34,0),MATCH(B108,'Scoring Prompt'!$B$26:$C$26,0))</f>
        <v>15</v>
      </c>
      <c r="K108" s="24">
        <f>IF(AND(D108&gt;=H108,D108&lt;=I108),'Scoring Prompt'!$B$47,IF(D108&lt;H108,IF(H108-D108&lt;=1,'Scoring Prompt'!$B$48,IF(H108-D108&lt;=2,'Scoring Prompt'!$B$49,'Scoring Prompt'!$B$50)),IF(D108-I108&lt;=2,'Scoring Prompt'!$B$51,'Scoring Prompt'!$B$52)))</f>
        <v>25</v>
      </c>
      <c r="L108" s="24">
        <f>IF(B108="JD3",SUMPRODUCT(--ISNUMBER(SEARCH('Scoring Prompt'!$E$22:$I$22,E108))),SUMPRODUCT(--ISNUMBER(SEARCH('Scoring Prompt'!$E$23:$I$23,E108))))</f>
        <v>2</v>
      </c>
      <c r="M108" s="24">
        <f t="shared" si="34"/>
        <v>16</v>
      </c>
      <c r="N108" s="24">
        <f>INDEX('Scoring Prompt'!$B$38:$C$43,MATCH(G108,'Scoring Prompt'!$A$38:$A$43,0),MATCH(B108,'Scoring Prompt'!$B$37:$C$37,0))</f>
        <v>7</v>
      </c>
      <c r="O108" s="24">
        <f t="shared" si="35"/>
        <v>63</v>
      </c>
      <c r="P108" s="24">
        <f>'Scored Shortlist'!E108</f>
        <v>15</v>
      </c>
      <c r="Q108" s="24">
        <f>'Scored Shortlist'!F108</f>
        <v>25</v>
      </c>
      <c r="R108" s="24">
        <f>'Scored Shortlist'!G108</f>
        <v>20</v>
      </c>
      <c r="S108" s="24">
        <f>'Scored Shortlist'!H108</f>
        <v>7</v>
      </c>
      <c r="T108" s="24">
        <f>'Scored Shortlist'!I108</f>
        <v>67</v>
      </c>
      <c r="U108" s="24">
        <f>IF('Scored Shortlist'!M108="none",0,(LEN('Scored Shortlist'!M108)-LEN(SUBSTITUTE('Scored Shortlist'!M108,"&lt;-","")))/2)</f>
        <v>1</v>
      </c>
      <c r="V108" s="24">
        <f t="shared" si="36"/>
        <v>1</v>
      </c>
      <c r="W108" s="24">
        <f t="shared" si="37"/>
        <v>1</v>
      </c>
      <c r="X108" s="24">
        <f t="shared" si="38"/>
        <v>1</v>
      </c>
      <c r="Y108" s="24">
        <f t="shared" si="39"/>
        <v>4</v>
      </c>
      <c r="Z108" s="24">
        <f t="shared" si="40"/>
        <v>4</v>
      </c>
      <c r="AA108" s="24">
        <f t="shared" si="41"/>
        <v>1</v>
      </c>
      <c r="AB108" s="25" t="str">
        <f t="shared" si="42"/>
        <v>OK</v>
      </c>
      <c r="AC108" s="24" t="str">
        <f t="shared" si="43"/>
        <v>Shortlist</v>
      </c>
      <c r="AD108" s="24" t="str">
        <f>IF(ISNUMBER(SEARCH(" "&amp;LEFT('Scored Shortlist'!B108,FIND(" ",'Scored Shortlist'!B108)-1)&amp;" "," "&amp;'Scored Shortlist'!N108&amp;" ")),"YES","no")</f>
        <v>no</v>
      </c>
    </row>
    <row r="109" spans="1:30" x14ac:dyDescent="0.25">
      <c r="A109" s="24" t="str">
        <f>'Scored Shortlist'!A109</f>
        <v>CV019</v>
      </c>
      <c r="B109" s="24" t="str">
        <f>'Scored Shortlist'!C109</f>
        <v>JD5</v>
      </c>
      <c r="C109" s="24" t="str">
        <f>INDEX(Resumes!$D$2:$D$101,MATCH(A109,Resumes!$A$2:$A$101,0))</f>
        <v>MBA Finance</v>
      </c>
      <c r="D109" s="24">
        <f>INDEX(Resumes!$E$2:$E$101,MATCH(A109,Resumes!$A$2:$A$101,0))</f>
        <v>3.5</v>
      </c>
      <c r="E109" s="24" t="str">
        <f>INDEX(Resumes!$G$2:$G$101,MATCH(A109,Resumes!$A$2:$A$101,0))</f>
        <v>SEO, product roadmap, A/B testing, Excel, user research</v>
      </c>
      <c r="F109" s="24" t="str">
        <f>INDEX(Resumes!$I$2:$I$101,MATCH(A109,Resumes!$A$2:$A$101,0))</f>
        <v>Rahul Pawar, MBA Finance from a tier-3 institute. 3.5 years of experience, most recently at a consulting firm. Key skills: SEO, product roadmap, A/B testing, Excel, user research. Achievement: built a Power BI sales dashboard used by 30 managers. Career gap: None.</v>
      </c>
      <c r="G109" s="24" t="str">
        <f t="shared" si="33"/>
        <v>built a Power BI sales dashboard used by 30 managers</v>
      </c>
      <c r="H109" s="24">
        <f>INDEX('Scoring Prompt'!$C$22:$C$23,MATCH(B109,'Scoring Prompt'!$A$22:$A$23,0))</f>
        <v>3</v>
      </c>
      <c r="I109" s="24">
        <f>INDEX('Scoring Prompt'!$D$22:$D$23,MATCH(B109,'Scoring Prompt'!$A$22:$A$23,0))</f>
        <v>6</v>
      </c>
      <c r="J109" s="24">
        <f>INDEX('Scoring Prompt'!$B$27:$C$34,MATCH(C109,'Scoring Prompt'!$A$27:$A$34,0),MATCH(B109,'Scoring Prompt'!$B$26:$C$26,0))</f>
        <v>15</v>
      </c>
      <c r="K109" s="24">
        <f>IF(AND(D109&gt;=H109,D109&lt;=I109),'Scoring Prompt'!$B$47,IF(D109&lt;H109,IF(H109-D109&lt;=1,'Scoring Prompt'!$B$48,IF(H109-D109&lt;=2,'Scoring Prompt'!$B$49,'Scoring Prompt'!$B$50)),IF(D109-I109&lt;=2,'Scoring Prompt'!$B$51,'Scoring Prompt'!$B$52)))</f>
        <v>25</v>
      </c>
      <c r="L109" s="24">
        <f>IF(B109="JD3",SUMPRODUCT(--ISNUMBER(SEARCH('Scoring Prompt'!$E$22:$I$22,E109))),SUMPRODUCT(--ISNUMBER(SEARCH('Scoring Prompt'!$E$23:$I$23,E109))))</f>
        <v>2</v>
      </c>
      <c r="M109" s="24">
        <f t="shared" si="34"/>
        <v>16</v>
      </c>
      <c r="N109" s="24">
        <f>INDEX('Scoring Prompt'!$B$38:$C$43,MATCH(G109,'Scoring Prompt'!$A$38:$A$43,0),MATCH(B109,'Scoring Prompt'!$B$37:$C$37,0))</f>
        <v>7</v>
      </c>
      <c r="O109" s="24">
        <f t="shared" si="35"/>
        <v>63</v>
      </c>
      <c r="P109" s="24">
        <f>'Scored Shortlist'!E109</f>
        <v>15</v>
      </c>
      <c r="Q109" s="24">
        <f>'Scored Shortlist'!F109</f>
        <v>25</v>
      </c>
      <c r="R109" s="24">
        <f>'Scored Shortlist'!G109</f>
        <v>16</v>
      </c>
      <c r="S109" s="24">
        <f>'Scored Shortlist'!H109</f>
        <v>7</v>
      </c>
      <c r="T109" s="24">
        <f>'Scored Shortlist'!I109</f>
        <v>63</v>
      </c>
      <c r="U109" s="24">
        <f>IF('Scored Shortlist'!M109="none",0,(LEN('Scored Shortlist'!M109)-LEN(SUBSTITUTE('Scored Shortlist'!M109,"&lt;-","")))/2)</f>
        <v>0</v>
      </c>
      <c r="V109" s="24">
        <f t="shared" si="36"/>
        <v>1</v>
      </c>
      <c r="W109" s="24">
        <f t="shared" si="37"/>
        <v>1</v>
      </c>
      <c r="X109" s="24">
        <f t="shared" si="38"/>
        <v>1</v>
      </c>
      <c r="Y109" s="24">
        <f t="shared" si="39"/>
        <v>0</v>
      </c>
      <c r="Z109" s="24">
        <f t="shared" si="40"/>
        <v>0</v>
      </c>
      <c r="AA109" s="24">
        <f t="shared" si="41"/>
        <v>1</v>
      </c>
      <c r="AB109" s="25" t="str">
        <f t="shared" si="42"/>
        <v>OK</v>
      </c>
      <c r="AC109" s="24" t="str">
        <f t="shared" si="43"/>
        <v>Shortlist</v>
      </c>
      <c r="AD109" s="24" t="str">
        <f>IF(ISNUMBER(SEARCH(" "&amp;LEFT('Scored Shortlist'!B109,FIND(" ",'Scored Shortlist'!B109)-1)&amp;" "," "&amp;'Scored Shortlist'!N109&amp;" ")),"YES","no")</f>
        <v>no</v>
      </c>
    </row>
    <row r="110" spans="1:30" x14ac:dyDescent="0.25">
      <c r="A110" s="24" t="str">
        <f>'Scored Shortlist'!A110</f>
        <v>CV009</v>
      </c>
      <c r="B110" s="24" t="str">
        <f>'Scored Shortlist'!C110</f>
        <v>JD5</v>
      </c>
      <c r="C110" s="24" t="str">
        <f>INDEX(Resumes!$D$2:$D$101,MATCH(A110,Resumes!$A$2:$A$101,0))</f>
        <v>MBA Finance</v>
      </c>
      <c r="D110" s="24">
        <f>INDEX(Resumes!$E$2:$E$101,MATCH(A110,Resumes!$A$2:$A$101,0))</f>
        <v>5.8</v>
      </c>
      <c r="E110" s="24" t="str">
        <f>INDEX(Resumes!$G$2:$G$101,MATCH(A110,Resumes!$A$2:$A$101,0))</f>
        <v>valuation, A/B testing, product roadmap, user research, vendor management, employee relations</v>
      </c>
      <c r="F110" s="24" t="str">
        <f>INDEX(Resumes!$I$2:$I$101,MATCH(A110,Resumes!$A$2:$A$101,0))</f>
        <v>Vivaan Das, MBA Finance from a tier-2 institute. 5.8 years of experience, most recently at an FMCG distributor. Key skills: valuation, A/B testing, product roadmap, user research, vendor management, employee relations. Achievement: improved vendor on-time delivery from 78% to 92%. Career gap: None.</v>
      </c>
      <c r="G110" s="24" t="str">
        <f t="shared" si="33"/>
        <v>improved vendor on-time delivery from 78% to 92%</v>
      </c>
      <c r="H110" s="24">
        <f>INDEX('Scoring Prompt'!$C$22:$C$23,MATCH(B110,'Scoring Prompt'!$A$22:$A$23,0))</f>
        <v>3</v>
      </c>
      <c r="I110" s="24">
        <f>INDEX('Scoring Prompt'!$D$22:$D$23,MATCH(B110,'Scoring Prompt'!$A$22:$A$23,0))</f>
        <v>6</v>
      </c>
      <c r="J110" s="24">
        <f>INDEX('Scoring Prompt'!$B$27:$C$34,MATCH(C110,'Scoring Prompt'!$A$27:$A$34,0),MATCH(B110,'Scoring Prompt'!$B$26:$C$26,0))</f>
        <v>15</v>
      </c>
      <c r="K110" s="24">
        <f>IF(AND(D110&gt;=H110,D110&lt;=I110),'Scoring Prompt'!$B$47,IF(D110&lt;H110,IF(H110-D110&lt;=1,'Scoring Prompt'!$B$48,IF(H110-D110&lt;=2,'Scoring Prompt'!$B$49,'Scoring Prompt'!$B$50)),IF(D110-I110&lt;=2,'Scoring Prompt'!$B$51,'Scoring Prompt'!$B$52)))</f>
        <v>25</v>
      </c>
      <c r="L110" s="24">
        <f>IF(B110="JD3",SUMPRODUCT(--ISNUMBER(SEARCH('Scoring Prompt'!$E$22:$I$22,E110))),SUMPRODUCT(--ISNUMBER(SEARCH('Scoring Prompt'!$E$23:$I$23,E110))))</f>
        <v>2</v>
      </c>
      <c r="M110" s="24">
        <f t="shared" si="34"/>
        <v>16</v>
      </c>
      <c r="N110" s="24">
        <f>INDEX('Scoring Prompt'!$B$38:$C$43,MATCH(G110,'Scoring Prompt'!$A$38:$A$43,0),MATCH(B110,'Scoring Prompt'!$B$37:$C$37,0))</f>
        <v>4</v>
      </c>
      <c r="O110" s="24">
        <f t="shared" si="35"/>
        <v>60</v>
      </c>
      <c r="P110" s="24">
        <f>'Scored Shortlist'!E110</f>
        <v>15</v>
      </c>
      <c r="Q110" s="24">
        <f>'Scored Shortlist'!F110</f>
        <v>25</v>
      </c>
      <c r="R110" s="24">
        <f>'Scored Shortlist'!G110</f>
        <v>16</v>
      </c>
      <c r="S110" s="24">
        <f>'Scored Shortlist'!H110</f>
        <v>4</v>
      </c>
      <c r="T110" s="24">
        <f>'Scored Shortlist'!I110</f>
        <v>60</v>
      </c>
      <c r="U110" s="24">
        <f>IF('Scored Shortlist'!M110="none",0,(LEN('Scored Shortlist'!M110)-LEN(SUBSTITUTE('Scored Shortlist'!M110,"&lt;-","")))/2)</f>
        <v>0</v>
      </c>
      <c r="V110" s="24">
        <f t="shared" si="36"/>
        <v>1</v>
      </c>
      <c r="W110" s="24">
        <f t="shared" si="37"/>
        <v>1</v>
      </c>
      <c r="X110" s="24">
        <f t="shared" si="38"/>
        <v>1</v>
      </c>
      <c r="Y110" s="24">
        <f t="shared" si="39"/>
        <v>0</v>
      </c>
      <c r="Z110" s="24">
        <f t="shared" si="40"/>
        <v>0</v>
      </c>
      <c r="AA110" s="24">
        <f t="shared" si="41"/>
        <v>1</v>
      </c>
      <c r="AB110" s="25" t="str">
        <f t="shared" si="42"/>
        <v>OK</v>
      </c>
      <c r="AC110" s="24" t="str">
        <f t="shared" si="43"/>
        <v>Shortlist</v>
      </c>
      <c r="AD110" s="24" t="str">
        <f>IF(ISNUMBER(SEARCH(" "&amp;LEFT('Scored Shortlist'!B110,FIND(" ",'Scored Shortlist'!B110)-1)&amp;" "," "&amp;'Scored Shortlist'!N110&amp;" ")),"YES","no")</f>
        <v>no</v>
      </c>
    </row>
    <row r="111" spans="1:30" x14ac:dyDescent="0.25">
      <c r="A111" s="24" t="str">
        <f>'Scored Shortlist'!A111</f>
        <v>CV057</v>
      </c>
      <c r="B111" s="24" t="str">
        <f>'Scored Shortlist'!C111</f>
        <v>JD5</v>
      </c>
      <c r="C111" s="24" t="str">
        <f>INDEX(Resumes!$D$2:$D$101,MATCH(A111,Resumes!$A$2:$A$101,0))</f>
        <v>MBA Operations</v>
      </c>
      <c r="D111" s="24">
        <f>INDEX(Resumes!$E$2:$E$101,MATCH(A111,Resumes!$A$2:$A$101,0))</f>
        <v>4.5999999999999996</v>
      </c>
      <c r="E111" s="24" t="str">
        <f>INDEX(Resumes!$G$2:$G$101,MATCH(A111,Resumes!$A$2:$A$101,0))</f>
        <v>Excel, agile, SEO, Tableau, UPI/payments, public speaking</v>
      </c>
      <c r="F111" s="24" t="str">
        <f>INDEX(Resumes!$I$2:$I$101,MATCH(A111,Resumes!$A$2:$A$101,0))</f>
        <v>Divya Chatterjee, MBA Operations from a tier-2 institute. 4.6 years of experience, most recently at a consulting firm. Key skills: Excel, agile, SEO, Tableau, UPI/payments, public speaking. Achievement: handled 120 hires in one year. Career gap: 1-year career break (family).</v>
      </c>
      <c r="G111" s="24" t="str">
        <f t="shared" si="33"/>
        <v>handled 120 hires in one year</v>
      </c>
      <c r="H111" s="24">
        <f>INDEX('Scoring Prompt'!$C$22:$C$23,MATCH(B111,'Scoring Prompt'!$A$22:$A$23,0))</f>
        <v>3</v>
      </c>
      <c r="I111" s="24">
        <f>INDEX('Scoring Prompt'!$D$22:$D$23,MATCH(B111,'Scoring Prompt'!$A$22:$A$23,0))</f>
        <v>6</v>
      </c>
      <c r="J111" s="24">
        <f>INDEX('Scoring Prompt'!$B$27:$C$34,MATCH(C111,'Scoring Prompt'!$A$27:$A$34,0),MATCH(B111,'Scoring Prompt'!$B$26:$C$26,0))</f>
        <v>15</v>
      </c>
      <c r="K111" s="24">
        <f>IF(AND(D111&gt;=H111,D111&lt;=I111),'Scoring Prompt'!$B$47,IF(D111&lt;H111,IF(H111-D111&lt;=1,'Scoring Prompt'!$B$48,IF(H111-D111&lt;=2,'Scoring Prompt'!$B$49,'Scoring Prompt'!$B$50)),IF(D111-I111&lt;=2,'Scoring Prompt'!$B$51,'Scoring Prompt'!$B$52)))</f>
        <v>25</v>
      </c>
      <c r="L111" s="24">
        <f>IF(B111="JD3",SUMPRODUCT(--ISNUMBER(SEARCH('Scoring Prompt'!$E$22:$I$22,E111))),SUMPRODUCT(--ISNUMBER(SEARCH('Scoring Prompt'!$E$23:$I$23,E111))))</f>
        <v>2</v>
      </c>
      <c r="M111" s="24">
        <f t="shared" si="34"/>
        <v>16</v>
      </c>
      <c r="N111" s="24">
        <f>INDEX('Scoring Prompt'!$B$38:$C$43,MATCH(G111,'Scoring Prompt'!$A$38:$A$43,0),MATCH(B111,'Scoring Prompt'!$B$37:$C$37,0))</f>
        <v>3</v>
      </c>
      <c r="O111" s="24">
        <f t="shared" si="35"/>
        <v>59</v>
      </c>
      <c r="P111" s="24">
        <f>'Scored Shortlist'!E111</f>
        <v>15</v>
      </c>
      <c r="Q111" s="24">
        <f>'Scored Shortlist'!F111</f>
        <v>25</v>
      </c>
      <c r="R111" s="24">
        <f>'Scored Shortlist'!G111</f>
        <v>16</v>
      </c>
      <c r="S111" s="24">
        <f>'Scored Shortlist'!H111</f>
        <v>3</v>
      </c>
      <c r="T111" s="24">
        <f>'Scored Shortlist'!I111</f>
        <v>59</v>
      </c>
      <c r="U111" s="24">
        <f>IF('Scored Shortlist'!M111="none",0,(LEN('Scored Shortlist'!M111)-LEN(SUBSTITUTE('Scored Shortlist'!M111,"&lt;-","")))/2)</f>
        <v>0</v>
      </c>
      <c r="V111" s="24">
        <f t="shared" si="36"/>
        <v>1</v>
      </c>
      <c r="W111" s="24">
        <f t="shared" si="37"/>
        <v>1</v>
      </c>
      <c r="X111" s="24">
        <f t="shared" si="38"/>
        <v>1</v>
      </c>
      <c r="Y111" s="24">
        <f t="shared" si="39"/>
        <v>0</v>
      </c>
      <c r="Z111" s="24">
        <f t="shared" si="40"/>
        <v>0</v>
      </c>
      <c r="AA111" s="24">
        <f t="shared" si="41"/>
        <v>1</v>
      </c>
      <c r="AB111" s="25" t="str">
        <f t="shared" si="42"/>
        <v>OK</v>
      </c>
      <c r="AC111" s="24" t="str">
        <f t="shared" si="43"/>
        <v>Review</v>
      </c>
      <c r="AD111" s="24" t="str">
        <f>IF(ISNUMBER(SEARCH(" "&amp;LEFT('Scored Shortlist'!B111,FIND(" ",'Scored Shortlist'!B111)-1)&amp;" "," "&amp;'Scored Shortlist'!N111&amp;" ")),"YES","no")</f>
        <v>no</v>
      </c>
    </row>
    <row r="112" spans="1:30" x14ac:dyDescent="0.25">
      <c r="A112" s="24" t="str">
        <f>'Scored Shortlist'!A112</f>
        <v>CV087</v>
      </c>
      <c r="B112" s="24" t="str">
        <f>'Scored Shortlist'!C112</f>
        <v>JD5</v>
      </c>
      <c r="C112" s="24" t="str">
        <f>INDEX(Resumes!$D$2:$D$101,MATCH(A112,Resumes!$A$2:$A$101,0))</f>
        <v>MBA Finance</v>
      </c>
      <c r="D112" s="24">
        <f>INDEX(Resumes!$E$2:$E$101,MATCH(A112,Resumes!$A$2:$A$101,0))</f>
        <v>5.6</v>
      </c>
      <c r="E112" s="24" t="str">
        <f>INDEX(Resumes!$G$2:$G$101,MATCH(A112,Resumes!$A$2:$A$101,0))</f>
        <v>HR analytics, demand forecasting, user research, vendor management, UPI/payments, Power BI</v>
      </c>
      <c r="F112" s="24" t="str">
        <f>INDEX(Resumes!$I$2:$I$101,MATCH(A112,Resumes!$A$2:$A$101,0))</f>
        <v>Lakshmi Gupta, MBA Finance from a tier-2 institute. 5.6 years of experience, most recently at a fintech start-up. Key skills: HR analytics, demand forecasting, user research, vendor management, UPI/payments, Power BI. Achievement: handled 120 hires in one year. Career gap: 1-year career break (family).</v>
      </c>
      <c r="G112" s="24" t="str">
        <f t="shared" si="33"/>
        <v>handled 120 hires in one year</v>
      </c>
      <c r="H112" s="24">
        <f>INDEX('Scoring Prompt'!$C$22:$C$23,MATCH(B112,'Scoring Prompt'!$A$22:$A$23,0))</f>
        <v>3</v>
      </c>
      <c r="I112" s="24">
        <f>INDEX('Scoring Prompt'!$D$22:$D$23,MATCH(B112,'Scoring Prompt'!$A$22:$A$23,0))</f>
        <v>6</v>
      </c>
      <c r="J112" s="24">
        <f>INDEX('Scoring Prompt'!$B$27:$C$34,MATCH(C112,'Scoring Prompt'!$A$27:$A$34,0),MATCH(B112,'Scoring Prompt'!$B$26:$C$26,0))</f>
        <v>15</v>
      </c>
      <c r="K112" s="24">
        <f>IF(AND(D112&gt;=H112,D112&lt;=I112),'Scoring Prompt'!$B$47,IF(D112&lt;H112,IF(H112-D112&lt;=1,'Scoring Prompt'!$B$48,IF(H112-D112&lt;=2,'Scoring Prompt'!$B$49,'Scoring Prompt'!$B$50)),IF(D112-I112&lt;=2,'Scoring Prompt'!$B$51,'Scoring Prompt'!$B$52)))</f>
        <v>25</v>
      </c>
      <c r="L112" s="24">
        <f>IF(B112="JD3",SUMPRODUCT(--ISNUMBER(SEARCH('Scoring Prompt'!$E$22:$I$22,E112))),SUMPRODUCT(--ISNUMBER(SEARCH('Scoring Prompt'!$E$23:$I$23,E112))))</f>
        <v>2</v>
      </c>
      <c r="M112" s="24">
        <f t="shared" si="34"/>
        <v>16</v>
      </c>
      <c r="N112" s="24">
        <f>INDEX('Scoring Prompt'!$B$38:$C$43,MATCH(G112,'Scoring Prompt'!$A$38:$A$43,0),MATCH(B112,'Scoring Prompt'!$B$37:$C$37,0))</f>
        <v>3</v>
      </c>
      <c r="O112" s="24">
        <f t="shared" si="35"/>
        <v>59</v>
      </c>
      <c r="P112" s="24">
        <f>'Scored Shortlist'!E112</f>
        <v>15</v>
      </c>
      <c r="Q112" s="24">
        <f>'Scored Shortlist'!F112</f>
        <v>25</v>
      </c>
      <c r="R112" s="24">
        <f>'Scored Shortlist'!G112</f>
        <v>16</v>
      </c>
      <c r="S112" s="24">
        <f>'Scored Shortlist'!H112</f>
        <v>3</v>
      </c>
      <c r="T112" s="24">
        <f>'Scored Shortlist'!I112</f>
        <v>59</v>
      </c>
      <c r="U112" s="24">
        <f>IF('Scored Shortlist'!M112="none",0,(LEN('Scored Shortlist'!M112)-LEN(SUBSTITUTE('Scored Shortlist'!M112,"&lt;-","")))/2)</f>
        <v>0</v>
      </c>
      <c r="V112" s="24">
        <f t="shared" si="36"/>
        <v>1</v>
      </c>
      <c r="W112" s="24">
        <f t="shared" si="37"/>
        <v>1</v>
      </c>
      <c r="X112" s="24">
        <f t="shared" si="38"/>
        <v>1</v>
      </c>
      <c r="Y112" s="24">
        <f t="shared" si="39"/>
        <v>0</v>
      </c>
      <c r="Z112" s="24">
        <f t="shared" si="40"/>
        <v>0</v>
      </c>
      <c r="AA112" s="24">
        <f t="shared" si="41"/>
        <v>1</v>
      </c>
      <c r="AB112" s="25" t="str">
        <f t="shared" si="42"/>
        <v>OK</v>
      </c>
      <c r="AC112" s="24" t="str">
        <f t="shared" si="43"/>
        <v>Review</v>
      </c>
      <c r="AD112" s="24" t="str">
        <f>IF(ISNUMBER(SEARCH(" "&amp;LEFT('Scored Shortlist'!B112,FIND(" ",'Scored Shortlist'!B112)-1)&amp;" "," "&amp;'Scored Shortlist'!N112&amp;" ")),"YES","no")</f>
        <v>no</v>
      </c>
    </row>
    <row r="113" spans="1:30" x14ac:dyDescent="0.25">
      <c r="A113" s="24" t="str">
        <f>'Scored Shortlist'!A113</f>
        <v>CV089</v>
      </c>
      <c r="B113" s="24" t="str">
        <f>'Scored Shortlist'!C113</f>
        <v>JD5</v>
      </c>
      <c r="C113" s="24" t="str">
        <f>INDEX(Resumes!$D$2:$D$101,MATCH(A113,Resumes!$A$2:$A$101,0))</f>
        <v>MBA Marketing</v>
      </c>
      <c r="D113" s="24">
        <f>INDEX(Resumes!$E$2:$E$101,MATCH(A113,Resumes!$A$2:$A$101,0))</f>
        <v>3.5</v>
      </c>
      <c r="E113" s="24" t="str">
        <f>INDEX(Resumes!$G$2:$G$101,MATCH(A113,Resumes!$A$2:$A$101,0))</f>
        <v>HR analytics, campaign management, SAP MM, SQL, Power BI, negotiation, content writing, Excel</v>
      </c>
      <c r="F113" s="24" t="str">
        <f>INDEX(Resumes!$I$2:$I$101,MATCH(A113,Resumes!$A$2:$A$101,0))</f>
        <v>Riya Mehta, MBA Marketing from a tier-2 institute. 3.5 years of experience, most recently at a fintech start-up. Key skills: HR analytics, campaign management, SAP MM, SQL, Power BI, negotiation, content writing, Excel. Achievement: cut reporting time by 40% by automating Excel reports. Career gap: 6-month gap (exam preparation).</v>
      </c>
      <c r="G113" s="24" t="str">
        <f t="shared" si="33"/>
        <v>cut reporting time by 40% by automating Excel reports</v>
      </c>
      <c r="H113" s="24">
        <f>INDEX('Scoring Prompt'!$C$22:$C$23,MATCH(B113,'Scoring Prompt'!$A$22:$A$23,0))</f>
        <v>3</v>
      </c>
      <c r="I113" s="24">
        <f>INDEX('Scoring Prompt'!$D$22:$D$23,MATCH(B113,'Scoring Prompt'!$A$22:$A$23,0))</f>
        <v>6</v>
      </c>
      <c r="J113" s="24">
        <f>INDEX('Scoring Prompt'!$B$27:$C$34,MATCH(C113,'Scoring Prompt'!$A$27:$A$34,0),MATCH(B113,'Scoring Prompt'!$B$26:$C$26,0))</f>
        <v>15</v>
      </c>
      <c r="K113" s="24">
        <f>IF(AND(D113&gt;=H113,D113&lt;=I113),'Scoring Prompt'!$B$47,IF(D113&lt;H113,IF(H113-D113&lt;=1,'Scoring Prompt'!$B$48,IF(H113-D113&lt;=2,'Scoring Prompt'!$B$49,'Scoring Prompt'!$B$50)),IF(D113-I113&lt;=2,'Scoring Prompt'!$B$51,'Scoring Prompt'!$B$52)))</f>
        <v>25</v>
      </c>
      <c r="L113" s="24">
        <f>IF(B113="JD3",SUMPRODUCT(--ISNUMBER(SEARCH('Scoring Prompt'!$E$22:$I$22,E113))),SUMPRODUCT(--ISNUMBER(SEARCH('Scoring Prompt'!$E$23:$I$23,E113))))</f>
        <v>1</v>
      </c>
      <c r="M113" s="24">
        <f t="shared" si="34"/>
        <v>8</v>
      </c>
      <c r="N113" s="24">
        <f>INDEX('Scoring Prompt'!$B$38:$C$43,MATCH(G113,'Scoring Prompt'!$A$38:$A$43,0),MATCH(B113,'Scoring Prompt'!$B$37:$C$37,0))</f>
        <v>6</v>
      </c>
      <c r="O113" s="24">
        <f t="shared" si="35"/>
        <v>54</v>
      </c>
      <c r="P113" s="24">
        <f>'Scored Shortlist'!E113</f>
        <v>15</v>
      </c>
      <c r="Q113" s="24">
        <f>'Scored Shortlist'!F113</f>
        <v>25</v>
      </c>
      <c r="R113" s="24">
        <f>'Scored Shortlist'!G113</f>
        <v>12</v>
      </c>
      <c r="S113" s="24">
        <f>'Scored Shortlist'!H113</f>
        <v>6</v>
      </c>
      <c r="T113" s="24">
        <f>'Scored Shortlist'!I113</f>
        <v>58</v>
      </c>
      <c r="U113" s="24">
        <f>IF('Scored Shortlist'!M113="none",0,(LEN('Scored Shortlist'!M113)-LEN(SUBSTITUTE('Scored Shortlist'!M113,"&lt;-","")))/2)</f>
        <v>1</v>
      </c>
      <c r="V113" s="24">
        <f t="shared" si="36"/>
        <v>1</v>
      </c>
      <c r="W113" s="24">
        <f t="shared" si="37"/>
        <v>1</v>
      </c>
      <c r="X113" s="24">
        <f t="shared" si="38"/>
        <v>1</v>
      </c>
      <c r="Y113" s="24">
        <f t="shared" si="39"/>
        <v>4</v>
      </c>
      <c r="Z113" s="24">
        <f t="shared" si="40"/>
        <v>4</v>
      </c>
      <c r="AA113" s="24">
        <f t="shared" si="41"/>
        <v>1</v>
      </c>
      <c r="AB113" s="25" t="str">
        <f t="shared" si="42"/>
        <v>OK</v>
      </c>
      <c r="AC113" s="24" t="str">
        <f t="shared" si="43"/>
        <v>Not shortlisted</v>
      </c>
      <c r="AD113" s="24" t="str">
        <f>IF(ISNUMBER(SEARCH(" "&amp;LEFT('Scored Shortlist'!B113,FIND(" ",'Scored Shortlist'!B113)-1)&amp;" "," "&amp;'Scored Shortlist'!N113&amp;" ")),"YES","no")</f>
        <v>no</v>
      </c>
    </row>
    <row r="114" spans="1:30" x14ac:dyDescent="0.25">
      <c r="A114" s="24" t="str">
        <f>'Scored Shortlist'!A114</f>
        <v>CV099</v>
      </c>
      <c r="B114" s="24" t="str">
        <f>'Scored Shortlist'!C114</f>
        <v>JD5</v>
      </c>
      <c r="C114" s="24" t="str">
        <f>INDEX(Resumes!$D$2:$D$101,MATCH(A114,Resumes!$A$2:$A$101,0))</f>
        <v>MBA Finance</v>
      </c>
      <c r="D114" s="24">
        <f>INDEX(Resumes!$E$2:$E$101,MATCH(A114,Resumes!$A$2:$A$101,0))</f>
        <v>4.5</v>
      </c>
      <c r="E114" s="24" t="str">
        <f>INDEX(Resumes!$G$2:$G$101,MATCH(A114,Resumes!$A$2:$A$101,0))</f>
        <v>A/B testing, Excel, Python, recruitment, stakeholder management, Tableau, agile</v>
      </c>
      <c r="F114" s="24" t="str">
        <f>INDEX(Resumes!$I$2:$I$101,MATCH(A114,Resumes!$A$2:$A$101,0))</f>
        <v>Tushar Deshmukh, MBA Finance from a tier-2 institute. 4.5 years of experience, most recently at a retail chain. Key skills: A/B testing, Excel, Python, recruitment, stakeholder management, Tableau, agile. Achievement: cut reporting time by 40% by automating Excel reports. Career gap: 1-year career break (family).</v>
      </c>
      <c r="G114" s="24" t="str">
        <f t="shared" si="33"/>
        <v>cut reporting time by 40% by automating Excel reports</v>
      </c>
      <c r="H114" s="24">
        <f>INDEX('Scoring Prompt'!$C$22:$C$23,MATCH(B114,'Scoring Prompt'!$A$22:$A$23,0))</f>
        <v>3</v>
      </c>
      <c r="I114" s="24">
        <f>INDEX('Scoring Prompt'!$D$22:$D$23,MATCH(B114,'Scoring Prompt'!$A$22:$A$23,0))</f>
        <v>6</v>
      </c>
      <c r="J114" s="24">
        <f>INDEX('Scoring Prompt'!$B$27:$C$34,MATCH(C114,'Scoring Prompt'!$A$27:$A$34,0),MATCH(B114,'Scoring Prompt'!$B$26:$C$26,0))</f>
        <v>15</v>
      </c>
      <c r="K114" s="24">
        <f>IF(AND(D114&gt;=H114,D114&lt;=I114),'Scoring Prompt'!$B$47,IF(D114&lt;H114,IF(H114-D114&lt;=1,'Scoring Prompt'!$B$48,IF(H114-D114&lt;=2,'Scoring Prompt'!$B$49,'Scoring Prompt'!$B$50)),IF(D114-I114&lt;=2,'Scoring Prompt'!$B$51,'Scoring Prompt'!$B$52)))</f>
        <v>25</v>
      </c>
      <c r="L114" s="24">
        <f>IF(B114="JD3",SUMPRODUCT(--ISNUMBER(SEARCH('Scoring Prompt'!$E$22:$I$22,E114))),SUMPRODUCT(--ISNUMBER(SEARCH('Scoring Prompt'!$E$23:$I$23,E114))))</f>
        <v>1</v>
      </c>
      <c r="M114" s="24">
        <f t="shared" si="34"/>
        <v>8</v>
      </c>
      <c r="N114" s="24">
        <f>INDEX('Scoring Prompt'!$B$38:$C$43,MATCH(G114,'Scoring Prompt'!$A$38:$A$43,0),MATCH(B114,'Scoring Prompt'!$B$37:$C$37,0))</f>
        <v>6</v>
      </c>
      <c r="O114" s="24">
        <f t="shared" si="35"/>
        <v>54</v>
      </c>
      <c r="P114" s="24">
        <f>'Scored Shortlist'!E114</f>
        <v>15</v>
      </c>
      <c r="Q114" s="24">
        <f>'Scored Shortlist'!F114</f>
        <v>25</v>
      </c>
      <c r="R114" s="24">
        <f>'Scored Shortlist'!G114</f>
        <v>12</v>
      </c>
      <c r="S114" s="24">
        <f>'Scored Shortlist'!H114</f>
        <v>6</v>
      </c>
      <c r="T114" s="24">
        <f>'Scored Shortlist'!I114</f>
        <v>58</v>
      </c>
      <c r="U114" s="24">
        <f>IF('Scored Shortlist'!M114="none",0,(LEN('Scored Shortlist'!M114)-LEN(SUBSTITUTE('Scored Shortlist'!M114,"&lt;-","")))/2)</f>
        <v>1</v>
      </c>
      <c r="V114" s="24">
        <f t="shared" si="36"/>
        <v>1</v>
      </c>
      <c r="W114" s="24">
        <f t="shared" si="37"/>
        <v>1</v>
      </c>
      <c r="X114" s="24">
        <f t="shared" si="38"/>
        <v>1</v>
      </c>
      <c r="Y114" s="24">
        <f t="shared" si="39"/>
        <v>4</v>
      </c>
      <c r="Z114" s="24">
        <f t="shared" si="40"/>
        <v>4</v>
      </c>
      <c r="AA114" s="24">
        <f t="shared" si="41"/>
        <v>1</v>
      </c>
      <c r="AB114" s="25" t="str">
        <f t="shared" si="42"/>
        <v>OK</v>
      </c>
      <c r="AC114" s="24" t="str">
        <f t="shared" si="43"/>
        <v>Not shortlisted</v>
      </c>
      <c r="AD114" s="24" t="str">
        <f>IF(ISNUMBER(SEARCH(" "&amp;LEFT('Scored Shortlist'!B114,FIND(" ",'Scored Shortlist'!B114)-1)&amp;" "," "&amp;'Scored Shortlist'!N114&amp;" ")),"YES","no")</f>
        <v>no</v>
      </c>
    </row>
    <row r="115" spans="1:30" x14ac:dyDescent="0.25">
      <c r="A115" s="24" t="str">
        <f>'Scored Shortlist'!A115</f>
        <v>CV022</v>
      </c>
      <c r="B115" s="24" t="str">
        <f>'Scored Shortlist'!C115</f>
        <v>JD5</v>
      </c>
      <c r="C115" s="24" t="str">
        <f>INDEX(Resumes!$D$2:$D$101,MATCH(A115,Resumes!$A$2:$A$101,0))</f>
        <v>B.Tech + MBA</v>
      </c>
      <c r="D115" s="24">
        <f>INDEX(Resumes!$E$2:$E$101,MATCH(A115,Resumes!$A$2:$A$101,0))</f>
        <v>5.8</v>
      </c>
      <c r="E115" s="24" t="str">
        <f>INDEX(Resumes!$G$2:$G$101,MATCH(A115,Resumes!$A$2:$A$101,0))</f>
        <v>HR analytics, financial modelling, Google Analytics, Tableau, content writing, negotiation, employee relations</v>
      </c>
      <c r="F115" s="24" t="str">
        <f>INDEX(Resumes!$I$2:$I$101,MATCH(A115,Resumes!$A$2:$A$101,0))</f>
        <v>Sandeep Das, B.Tech + MBA from a tier-1 institute. 5.8 years of experience, most recently at a retail chain. Key skills: HR analytics, financial modelling, Google Analytics, Tableau, content writing, negotiation, employee relations. Achievement: built a Power BI sales dashboard used by 30 managers. Career gap: None.</v>
      </c>
      <c r="G115" s="24" t="str">
        <f t="shared" si="33"/>
        <v>built a Power BI sales dashboard used by 30 managers</v>
      </c>
      <c r="H115" s="24">
        <f>INDEX('Scoring Prompt'!$C$22:$C$23,MATCH(B115,'Scoring Prompt'!$A$22:$A$23,0))</f>
        <v>3</v>
      </c>
      <c r="I115" s="24">
        <f>INDEX('Scoring Prompt'!$D$22:$D$23,MATCH(B115,'Scoring Prompt'!$A$22:$A$23,0))</f>
        <v>6</v>
      </c>
      <c r="J115" s="24">
        <f>INDEX('Scoring Prompt'!$B$27:$C$34,MATCH(C115,'Scoring Prompt'!$A$27:$A$34,0),MATCH(B115,'Scoring Prompt'!$B$26:$C$26,0))</f>
        <v>25</v>
      </c>
      <c r="K115" s="24">
        <f>IF(AND(D115&gt;=H115,D115&lt;=I115),'Scoring Prompt'!$B$47,IF(D115&lt;H115,IF(H115-D115&lt;=1,'Scoring Prompt'!$B$48,IF(H115-D115&lt;=2,'Scoring Prompt'!$B$49,'Scoring Prompt'!$B$50)),IF(D115-I115&lt;=2,'Scoring Prompt'!$B$51,'Scoring Prompt'!$B$52)))</f>
        <v>25</v>
      </c>
      <c r="L115" s="24">
        <f>IF(B115="JD3",SUMPRODUCT(--ISNUMBER(SEARCH('Scoring Prompt'!$E$22:$I$22,E115))),SUMPRODUCT(--ISNUMBER(SEARCH('Scoring Prompt'!$E$23:$I$23,E115))))</f>
        <v>0</v>
      </c>
      <c r="M115" s="24">
        <f t="shared" si="34"/>
        <v>0</v>
      </c>
      <c r="N115" s="24">
        <f>INDEX('Scoring Prompt'!$B$38:$C$43,MATCH(G115,'Scoring Prompt'!$A$38:$A$43,0),MATCH(B115,'Scoring Prompt'!$B$37:$C$37,0))</f>
        <v>7</v>
      </c>
      <c r="O115" s="24">
        <f t="shared" si="35"/>
        <v>57</v>
      </c>
      <c r="P115" s="24">
        <f>'Scored Shortlist'!E115</f>
        <v>25</v>
      </c>
      <c r="Q115" s="24">
        <f>'Scored Shortlist'!F115</f>
        <v>25</v>
      </c>
      <c r="R115" s="24">
        <f>'Scored Shortlist'!G115</f>
        <v>0</v>
      </c>
      <c r="S115" s="24">
        <f>'Scored Shortlist'!H115</f>
        <v>7</v>
      </c>
      <c r="T115" s="24">
        <f>'Scored Shortlist'!I115</f>
        <v>57</v>
      </c>
      <c r="U115" s="24">
        <f>IF('Scored Shortlist'!M115="none",0,(LEN('Scored Shortlist'!M115)-LEN(SUBSTITUTE('Scored Shortlist'!M115,"&lt;-","")))/2)</f>
        <v>0</v>
      </c>
      <c r="V115" s="24">
        <f t="shared" si="36"/>
        <v>1</v>
      </c>
      <c r="W115" s="24">
        <f t="shared" si="37"/>
        <v>1</v>
      </c>
      <c r="X115" s="24">
        <f t="shared" si="38"/>
        <v>1</v>
      </c>
      <c r="Y115" s="24">
        <f t="shared" si="39"/>
        <v>0</v>
      </c>
      <c r="Z115" s="24">
        <f t="shared" si="40"/>
        <v>0</v>
      </c>
      <c r="AA115" s="24">
        <f t="shared" si="41"/>
        <v>1</v>
      </c>
      <c r="AB115" s="25" t="str">
        <f t="shared" si="42"/>
        <v>OK</v>
      </c>
      <c r="AC115" s="24" t="str">
        <f t="shared" si="43"/>
        <v>Not shortlisted</v>
      </c>
      <c r="AD115" s="24" t="str">
        <f>IF(ISNUMBER(SEARCH(" "&amp;LEFT('Scored Shortlist'!B115,FIND(" ",'Scored Shortlist'!B115)-1)&amp;" "," "&amp;'Scored Shortlist'!N115&amp;" ")),"YES","no")</f>
        <v>no</v>
      </c>
    </row>
    <row r="116" spans="1:30" x14ac:dyDescent="0.25">
      <c r="A116" s="24" t="str">
        <f>'Scored Shortlist'!A116</f>
        <v>CV093</v>
      </c>
      <c r="B116" s="24" t="str">
        <f>'Scored Shortlist'!C116</f>
        <v>JD5</v>
      </c>
      <c r="C116" s="24" t="str">
        <f>INDEX(Resumes!$D$2:$D$101,MATCH(A116,Resumes!$A$2:$A$101,0))</f>
        <v>MBA Marketing</v>
      </c>
      <c r="D116" s="24">
        <f>INDEX(Resumes!$E$2:$E$101,MATCH(A116,Resumes!$A$2:$A$101,0))</f>
        <v>6.8</v>
      </c>
      <c r="E116" s="24" t="str">
        <f>INDEX(Resumes!$G$2:$G$101,MATCH(A116,Resumes!$A$2:$A$101,0))</f>
        <v>SAP MM, public speaking, Tableau, stakeholder management, SEO, agile, UPI/payments</v>
      </c>
      <c r="F116" s="24" t="str">
        <f>INDEX(Resumes!$I$2:$I$101,MATCH(A116,Resumes!$A$2:$A$101,0))</f>
        <v>Sandeep Patil, MBA Marketing from a tier-3 institute. 6.8 years of experience, most recently at an FMCG distributor. Key skills: SAP MM, public speaking, Tableau, stakeholder management, SEO, agile, UPI/payments. Achievement: cut reporting time by 40% by automating Excel reports. Career gap: 6-month gap (exam preparation).</v>
      </c>
      <c r="G116" s="24" t="str">
        <f t="shared" si="33"/>
        <v>cut reporting time by 40% by automating Excel reports</v>
      </c>
      <c r="H116" s="24">
        <f>INDEX('Scoring Prompt'!$C$22:$C$23,MATCH(B116,'Scoring Prompt'!$A$22:$A$23,0))</f>
        <v>3</v>
      </c>
      <c r="I116" s="24">
        <f>INDEX('Scoring Prompt'!$D$22:$D$23,MATCH(B116,'Scoring Prompt'!$A$22:$A$23,0))</f>
        <v>6</v>
      </c>
      <c r="J116" s="24">
        <f>INDEX('Scoring Prompt'!$B$27:$C$34,MATCH(C116,'Scoring Prompt'!$A$27:$A$34,0),MATCH(B116,'Scoring Prompt'!$B$26:$C$26,0))</f>
        <v>15</v>
      </c>
      <c r="K116" s="24">
        <f>IF(AND(D116&gt;=H116,D116&lt;=I116),'Scoring Prompt'!$B$47,IF(D116&lt;H116,IF(H116-D116&lt;=1,'Scoring Prompt'!$B$48,IF(H116-D116&lt;=2,'Scoring Prompt'!$B$49,'Scoring Prompt'!$B$50)),IF(D116-I116&lt;=2,'Scoring Prompt'!$B$51,'Scoring Prompt'!$B$52)))</f>
        <v>20</v>
      </c>
      <c r="L116" s="24">
        <f>IF(B116="JD3",SUMPRODUCT(--ISNUMBER(SEARCH('Scoring Prompt'!$E$22:$I$22,E116))),SUMPRODUCT(--ISNUMBER(SEARCH('Scoring Prompt'!$E$23:$I$23,E116))))</f>
        <v>2</v>
      </c>
      <c r="M116" s="24">
        <f t="shared" si="34"/>
        <v>16</v>
      </c>
      <c r="N116" s="24">
        <f>INDEX('Scoring Prompt'!$B$38:$C$43,MATCH(G116,'Scoring Prompt'!$A$38:$A$43,0),MATCH(B116,'Scoring Prompt'!$B$37:$C$37,0))</f>
        <v>6</v>
      </c>
      <c r="O116" s="24">
        <f t="shared" si="35"/>
        <v>57</v>
      </c>
      <c r="P116" s="24">
        <f>'Scored Shortlist'!E116</f>
        <v>15</v>
      </c>
      <c r="Q116" s="24">
        <f>'Scored Shortlist'!F116</f>
        <v>20</v>
      </c>
      <c r="R116" s="24">
        <f>'Scored Shortlist'!G116</f>
        <v>16</v>
      </c>
      <c r="S116" s="24">
        <f>'Scored Shortlist'!H116</f>
        <v>6</v>
      </c>
      <c r="T116" s="24">
        <f>'Scored Shortlist'!I116</f>
        <v>57</v>
      </c>
      <c r="U116" s="24">
        <f>IF('Scored Shortlist'!M116="none",0,(LEN('Scored Shortlist'!M116)-LEN(SUBSTITUTE('Scored Shortlist'!M116,"&lt;-","")))/2)</f>
        <v>0</v>
      </c>
      <c r="V116" s="24">
        <f t="shared" si="36"/>
        <v>1</v>
      </c>
      <c r="W116" s="24">
        <f t="shared" si="37"/>
        <v>1</v>
      </c>
      <c r="X116" s="24">
        <f t="shared" si="38"/>
        <v>1</v>
      </c>
      <c r="Y116" s="24">
        <f t="shared" si="39"/>
        <v>0</v>
      </c>
      <c r="Z116" s="24">
        <f t="shared" si="40"/>
        <v>0</v>
      </c>
      <c r="AA116" s="24">
        <f t="shared" si="41"/>
        <v>1</v>
      </c>
      <c r="AB116" s="25" t="str">
        <f t="shared" si="42"/>
        <v>OK</v>
      </c>
      <c r="AC116" s="24" t="str">
        <f t="shared" si="43"/>
        <v>Review</v>
      </c>
      <c r="AD116" s="24" t="str">
        <f>IF(ISNUMBER(SEARCH(" "&amp;LEFT('Scored Shortlist'!B116,FIND(" ",'Scored Shortlist'!B116)-1)&amp;" "," "&amp;'Scored Shortlist'!N116&amp;" ")),"YES","no")</f>
        <v>no</v>
      </c>
    </row>
    <row r="117" spans="1:30" x14ac:dyDescent="0.25">
      <c r="A117" s="24" t="str">
        <f>'Scored Shortlist'!A117</f>
        <v>CV028</v>
      </c>
      <c r="B117" s="24" t="str">
        <f>'Scored Shortlist'!C117</f>
        <v>JD5</v>
      </c>
      <c r="C117" s="24" t="str">
        <f>INDEX(Resumes!$D$2:$D$101,MATCH(A117,Resumes!$A$2:$A$101,0))</f>
        <v>MBA Operations</v>
      </c>
      <c r="D117" s="24">
        <f>INDEX(Resumes!$E$2:$E$101,MATCH(A117,Resumes!$A$2:$A$101,0))</f>
        <v>5.9</v>
      </c>
      <c r="E117" s="24" t="str">
        <f>INDEX(Resumes!$G$2:$G$101,MATCH(A117,Resumes!$A$2:$A$101,0))</f>
        <v>HR analytics, A/B testing, Python, Tableau, inventory planning, SQL, valuation</v>
      </c>
      <c r="F117" s="24" t="str">
        <f>INDEX(Resumes!$I$2:$I$101,MATCH(A117,Resumes!$A$2:$A$101,0))</f>
        <v>Simran Menon, MBA Operations from a tier-1 institute. 5.9 years of experience, most recently at a consulting firm. Key skills: HR analytics, A/B testing, Python, Tableau, inventory planning, SQL, valuation. Achievement: improved vendor on-time delivery from 78% to 92%. Career gap: None.</v>
      </c>
      <c r="G117" s="24" t="str">
        <f t="shared" si="33"/>
        <v>improved vendor on-time delivery from 78% to 92%</v>
      </c>
      <c r="H117" s="24">
        <f>INDEX('Scoring Prompt'!$C$22:$C$23,MATCH(B117,'Scoring Prompt'!$A$22:$A$23,0))</f>
        <v>3</v>
      </c>
      <c r="I117" s="24">
        <f>INDEX('Scoring Prompt'!$D$22:$D$23,MATCH(B117,'Scoring Prompt'!$A$22:$A$23,0))</f>
        <v>6</v>
      </c>
      <c r="J117" s="24">
        <f>INDEX('Scoring Prompt'!$B$27:$C$34,MATCH(C117,'Scoring Prompt'!$A$27:$A$34,0),MATCH(B117,'Scoring Prompt'!$B$26:$C$26,0))</f>
        <v>15</v>
      </c>
      <c r="K117" s="24">
        <f>IF(AND(D117&gt;=H117,D117&lt;=I117),'Scoring Prompt'!$B$47,IF(D117&lt;H117,IF(H117-D117&lt;=1,'Scoring Prompt'!$B$48,IF(H117-D117&lt;=2,'Scoring Prompt'!$B$49,'Scoring Prompt'!$B$50)),IF(D117-I117&lt;=2,'Scoring Prompt'!$B$51,'Scoring Prompt'!$B$52)))</f>
        <v>25</v>
      </c>
      <c r="L117" s="24">
        <f>IF(B117="JD3",SUMPRODUCT(--ISNUMBER(SEARCH('Scoring Prompt'!$E$22:$I$22,E117))),SUMPRODUCT(--ISNUMBER(SEARCH('Scoring Prompt'!$E$23:$I$23,E117))))</f>
        <v>1</v>
      </c>
      <c r="M117" s="24">
        <f t="shared" si="34"/>
        <v>8</v>
      </c>
      <c r="N117" s="24">
        <f>INDEX('Scoring Prompt'!$B$38:$C$43,MATCH(G117,'Scoring Prompt'!$A$38:$A$43,0),MATCH(B117,'Scoring Prompt'!$B$37:$C$37,0))</f>
        <v>4</v>
      </c>
      <c r="O117" s="24">
        <f t="shared" si="35"/>
        <v>52</v>
      </c>
      <c r="P117" s="24">
        <f>'Scored Shortlist'!E117</f>
        <v>15</v>
      </c>
      <c r="Q117" s="24">
        <f>'Scored Shortlist'!F117</f>
        <v>25</v>
      </c>
      <c r="R117" s="24">
        <f>'Scored Shortlist'!G117</f>
        <v>12</v>
      </c>
      <c r="S117" s="24">
        <f>'Scored Shortlist'!H117</f>
        <v>4</v>
      </c>
      <c r="T117" s="24">
        <f>'Scored Shortlist'!I117</f>
        <v>56</v>
      </c>
      <c r="U117" s="24">
        <f>IF('Scored Shortlist'!M117="none",0,(LEN('Scored Shortlist'!M117)-LEN(SUBSTITUTE('Scored Shortlist'!M117,"&lt;-","")))/2)</f>
        <v>1</v>
      </c>
      <c r="V117" s="24">
        <f t="shared" si="36"/>
        <v>1</v>
      </c>
      <c r="W117" s="24">
        <f t="shared" si="37"/>
        <v>1</v>
      </c>
      <c r="X117" s="24">
        <f t="shared" si="38"/>
        <v>1</v>
      </c>
      <c r="Y117" s="24">
        <f t="shared" si="39"/>
        <v>4</v>
      </c>
      <c r="Z117" s="24">
        <f t="shared" si="40"/>
        <v>4</v>
      </c>
      <c r="AA117" s="24">
        <f t="shared" si="41"/>
        <v>1</v>
      </c>
      <c r="AB117" s="25" t="str">
        <f t="shared" si="42"/>
        <v>OK</v>
      </c>
      <c r="AC117" s="24" t="str">
        <f t="shared" si="43"/>
        <v>Not shortlisted</v>
      </c>
      <c r="AD117" s="24" t="str">
        <f>IF(ISNUMBER(SEARCH(" "&amp;LEFT('Scored Shortlist'!B117,FIND(" ",'Scored Shortlist'!B117)-1)&amp;" "," "&amp;'Scored Shortlist'!N117&amp;" ")),"YES","no")</f>
        <v>no</v>
      </c>
    </row>
    <row r="118" spans="1:30" x14ac:dyDescent="0.25">
      <c r="A118" s="24" t="str">
        <f>'Scored Shortlist'!A118</f>
        <v>CV008</v>
      </c>
      <c r="B118" s="24" t="str">
        <f>'Scored Shortlist'!C118</f>
        <v>JD5</v>
      </c>
      <c r="C118" s="24" t="str">
        <f>INDEX(Resumes!$D$2:$D$101,MATCH(A118,Resumes!$A$2:$A$101,0))</f>
        <v>MBA HR</v>
      </c>
      <c r="D118" s="24">
        <f>INDEX(Resumes!$E$2:$E$101,MATCH(A118,Resumes!$A$2:$A$101,0))</f>
        <v>3.2</v>
      </c>
      <c r="E118" s="24" t="str">
        <f>INDEX(Resumes!$G$2:$G$101,MATCH(A118,Resumes!$A$2:$A$101,0))</f>
        <v>Tableau, stakeholder management, HR analytics, SAP MM, agile, recruitment, public speaking, Python</v>
      </c>
      <c r="F118" s="24" t="str">
        <f>INDEX(Resumes!$I$2:$I$101,MATCH(A118,Resumes!$A$2:$A$101,0))</f>
        <v>Simran Mehta, MBA HR from a tier-3 institute. 3.2 years of experience, most recently at a fintech start-up. Key skills: Tableau, stakeholder management, HR analytics, SAP MM, agile, recruitment, public speaking, Python. Achievement: handled 120 hires in one year. Career gap: None.</v>
      </c>
      <c r="G118" s="24" t="str">
        <f t="shared" si="33"/>
        <v>handled 120 hires in one year</v>
      </c>
      <c r="H118" s="24">
        <f>INDEX('Scoring Prompt'!$C$22:$C$23,MATCH(B118,'Scoring Prompt'!$A$22:$A$23,0))</f>
        <v>3</v>
      </c>
      <c r="I118" s="24">
        <f>INDEX('Scoring Prompt'!$D$22:$D$23,MATCH(B118,'Scoring Prompt'!$A$22:$A$23,0))</f>
        <v>6</v>
      </c>
      <c r="J118" s="24">
        <f>INDEX('Scoring Prompt'!$B$27:$C$34,MATCH(C118,'Scoring Prompt'!$A$27:$A$34,0),MATCH(B118,'Scoring Prompt'!$B$26:$C$26,0))</f>
        <v>15</v>
      </c>
      <c r="K118" s="24">
        <f>IF(AND(D118&gt;=H118,D118&lt;=I118),'Scoring Prompt'!$B$47,IF(D118&lt;H118,IF(H118-D118&lt;=1,'Scoring Prompt'!$B$48,IF(H118-D118&lt;=2,'Scoring Prompt'!$B$49,'Scoring Prompt'!$B$50)),IF(D118-I118&lt;=2,'Scoring Prompt'!$B$51,'Scoring Prompt'!$B$52)))</f>
        <v>25</v>
      </c>
      <c r="L118" s="24">
        <f>IF(B118="JD3",SUMPRODUCT(--ISNUMBER(SEARCH('Scoring Prompt'!$E$22:$I$22,E118))),SUMPRODUCT(--ISNUMBER(SEARCH('Scoring Prompt'!$E$23:$I$23,E118))))</f>
        <v>1</v>
      </c>
      <c r="M118" s="24">
        <f t="shared" si="34"/>
        <v>8</v>
      </c>
      <c r="N118" s="24">
        <f>INDEX('Scoring Prompt'!$B$38:$C$43,MATCH(G118,'Scoring Prompt'!$A$38:$A$43,0),MATCH(B118,'Scoring Prompt'!$B$37:$C$37,0))</f>
        <v>3</v>
      </c>
      <c r="O118" s="24">
        <f t="shared" si="35"/>
        <v>51</v>
      </c>
      <c r="P118" s="24">
        <f>'Scored Shortlist'!E118</f>
        <v>15</v>
      </c>
      <c r="Q118" s="24">
        <f>'Scored Shortlist'!F118</f>
        <v>25</v>
      </c>
      <c r="R118" s="24">
        <f>'Scored Shortlist'!G118</f>
        <v>12</v>
      </c>
      <c r="S118" s="24">
        <f>'Scored Shortlist'!H118</f>
        <v>3</v>
      </c>
      <c r="T118" s="24">
        <f>'Scored Shortlist'!I118</f>
        <v>55</v>
      </c>
      <c r="U118" s="24">
        <f>IF('Scored Shortlist'!M118="none",0,(LEN('Scored Shortlist'!M118)-LEN(SUBSTITUTE('Scored Shortlist'!M118,"&lt;-","")))/2)</f>
        <v>1</v>
      </c>
      <c r="V118" s="24">
        <f t="shared" si="36"/>
        <v>1</v>
      </c>
      <c r="W118" s="24">
        <f t="shared" si="37"/>
        <v>1</v>
      </c>
      <c r="X118" s="24">
        <f t="shared" si="38"/>
        <v>1</v>
      </c>
      <c r="Y118" s="24">
        <f t="shared" si="39"/>
        <v>4</v>
      </c>
      <c r="Z118" s="24">
        <f t="shared" si="40"/>
        <v>4</v>
      </c>
      <c r="AA118" s="24">
        <f t="shared" si="41"/>
        <v>1</v>
      </c>
      <c r="AB118" s="25" t="str">
        <f t="shared" si="42"/>
        <v>OK</v>
      </c>
      <c r="AC118" s="24" t="str">
        <f t="shared" si="43"/>
        <v>Not shortlisted</v>
      </c>
      <c r="AD118" s="24" t="str">
        <f>IF(ISNUMBER(SEARCH(" "&amp;LEFT('Scored Shortlist'!B118,FIND(" ",'Scored Shortlist'!B118)-1)&amp;" "," "&amp;'Scored Shortlist'!N118&amp;" ")),"YES","no")</f>
        <v>no</v>
      </c>
    </row>
    <row r="119" spans="1:30" x14ac:dyDescent="0.25">
      <c r="A119" s="24" t="str">
        <f>'Scored Shortlist'!A119</f>
        <v>CV039</v>
      </c>
      <c r="B119" s="24" t="str">
        <f>'Scored Shortlist'!C119</f>
        <v>JD5</v>
      </c>
      <c r="C119" s="24" t="str">
        <f>INDEX(Resumes!$D$2:$D$101,MATCH(A119,Resumes!$A$2:$A$101,0))</f>
        <v>MBA Finance</v>
      </c>
      <c r="D119" s="24">
        <f>INDEX(Resumes!$E$2:$E$101,MATCH(A119,Resumes!$A$2:$A$101,0))</f>
        <v>3.5</v>
      </c>
      <c r="E119" s="24" t="str">
        <f>INDEX(Resumes!$G$2:$G$101,MATCH(A119,Resumes!$A$2:$A$101,0))</f>
        <v>employee relations, SEO, A/B testing, SQL, labour law</v>
      </c>
      <c r="F119" s="24" t="str">
        <f>INDEX(Resumes!$I$2:$I$101,MATCH(A119,Resumes!$A$2:$A$101,0))</f>
        <v>Gurpreet Chatterjee, MBA Finance from a tier-2 institute. 3.5 years of experience, most recently at an FMCG distributor. Key skills: employee relations, SEO, A/B testing, SQL, labour law. Achievement: handled 120 hires in one year. Career gap: 1-year career break (family).</v>
      </c>
      <c r="G119" s="24" t="str">
        <f t="shared" si="33"/>
        <v>handled 120 hires in one year</v>
      </c>
      <c r="H119" s="24">
        <f>INDEX('Scoring Prompt'!$C$22:$C$23,MATCH(B119,'Scoring Prompt'!$A$22:$A$23,0))</f>
        <v>3</v>
      </c>
      <c r="I119" s="24">
        <f>INDEX('Scoring Prompt'!$D$22:$D$23,MATCH(B119,'Scoring Prompt'!$A$22:$A$23,0))</f>
        <v>6</v>
      </c>
      <c r="J119" s="24">
        <f>INDEX('Scoring Prompt'!$B$27:$C$34,MATCH(C119,'Scoring Prompt'!$A$27:$A$34,0),MATCH(B119,'Scoring Prompt'!$B$26:$C$26,0))</f>
        <v>15</v>
      </c>
      <c r="K119" s="24">
        <f>IF(AND(D119&gt;=H119,D119&lt;=I119),'Scoring Prompt'!$B$47,IF(D119&lt;H119,IF(H119-D119&lt;=1,'Scoring Prompt'!$B$48,IF(H119-D119&lt;=2,'Scoring Prompt'!$B$49,'Scoring Prompt'!$B$50)),IF(D119-I119&lt;=2,'Scoring Prompt'!$B$51,'Scoring Prompt'!$B$52)))</f>
        <v>25</v>
      </c>
      <c r="L119" s="24">
        <f>IF(B119="JD3",SUMPRODUCT(--ISNUMBER(SEARCH('Scoring Prompt'!$E$22:$I$22,E119))),SUMPRODUCT(--ISNUMBER(SEARCH('Scoring Prompt'!$E$23:$I$23,E119))))</f>
        <v>1</v>
      </c>
      <c r="M119" s="24">
        <f t="shared" si="34"/>
        <v>8</v>
      </c>
      <c r="N119" s="24">
        <f>INDEX('Scoring Prompt'!$B$38:$C$43,MATCH(G119,'Scoring Prompt'!$A$38:$A$43,0),MATCH(B119,'Scoring Prompt'!$B$37:$C$37,0))</f>
        <v>3</v>
      </c>
      <c r="O119" s="24">
        <f t="shared" si="35"/>
        <v>51</v>
      </c>
      <c r="P119" s="24">
        <f>'Scored Shortlist'!E119</f>
        <v>15</v>
      </c>
      <c r="Q119" s="24">
        <f>'Scored Shortlist'!F119</f>
        <v>25</v>
      </c>
      <c r="R119" s="24">
        <f>'Scored Shortlist'!G119</f>
        <v>12</v>
      </c>
      <c r="S119" s="24">
        <f>'Scored Shortlist'!H119</f>
        <v>3</v>
      </c>
      <c r="T119" s="24">
        <f>'Scored Shortlist'!I119</f>
        <v>55</v>
      </c>
      <c r="U119" s="24">
        <f>IF('Scored Shortlist'!M119="none",0,(LEN('Scored Shortlist'!M119)-LEN(SUBSTITUTE('Scored Shortlist'!M119,"&lt;-","")))/2)</f>
        <v>1</v>
      </c>
      <c r="V119" s="24">
        <f t="shared" si="36"/>
        <v>1</v>
      </c>
      <c r="W119" s="24">
        <f t="shared" si="37"/>
        <v>1</v>
      </c>
      <c r="X119" s="24">
        <f t="shared" si="38"/>
        <v>1</v>
      </c>
      <c r="Y119" s="24">
        <f t="shared" si="39"/>
        <v>4</v>
      </c>
      <c r="Z119" s="24">
        <f t="shared" si="40"/>
        <v>4</v>
      </c>
      <c r="AA119" s="24">
        <f t="shared" si="41"/>
        <v>1</v>
      </c>
      <c r="AB119" s="25" t="str">
        <f t="shared" si="42"/>
        <v>OK</v>
      </c>
      <c r="AC119" s="24" t="str">
        <f t="shared" si="43"/>
        <v>Not shortlisted</v>
      </c>
      <c r="AD119" s="24" t="str">
        <f>IF(ISNUMBER(SEARCH(" "&amp;LEFT('Scored Shortlist'!B119,FIND(" ",'Scored Shortlist'!B119)-1)&amp;" "," "&amp;'Scored Shortlist'!N119&amp;" ")),"YES","no")</f>
        <v>no</v>
      </c>
    </row>
    <row r="120" spans="1:30" x14ac:dyDescent="0.25">
      <c r="A120" s="24" t="str">
        <f>'Scored Shortlist'!A120</f>
        <v>CV063</v>
      </c>
      <c r="B120" s="24" t="str">
        <f>'Scored Shortlist'!C120</f>
        <v>JD5</v>
      </c>
      <c r="C120" s="24" t="str">
        <f>INDEX(Resumes!$D$2:$D$101,MATCH(A120,Resumes!$A$2:$A$101,0))</f>
        <v>MBA Operations</v>
      </c>
      <c r="D120" s="24">
        <f>INDEX(Resumes!$E$2:$E$101,MATCH(A120,Resumes!$A$2:$A$101,0))</f>
        <v>4.3</v>
      </c>
      <c r="E120" s="24" t="str">
        <f>INDEX(Resumes!$G$2:$G$101,MATCH(A120,Resumes!$A$2:$A$101,0))</f>
        <v>Tableau, employee relations, recruitment, SQL, Excel, campaign management, labour law, A/B testing</v>
      </c>
      <c r="F120" s="24" t="str">
        <f>INDEX(Resumes!$I$2:$I$101,MATCH(A120,Resumes!$A$2:$A$101,0))</f>
        <v>Pooja Verma, MBA Operations from a tier-2 institute. 4.3 years of experience, most recently at a consulting firm. Key skills: Tableau, employee relations, recruitment, SQL, Excel, campaign management, labour law, A/B testing. Achievement: handled 120 hires in one year. Career gap: None.</v>
      </c>
      <c r="G120" s="24" t="str">
        <f t="shared" si="33"/>
        <v>handled 120 hires in one year</v>
      </c>
      <c r="H120" s="24">
        <f>INDEX('Scoring Prompt'!$C$22:$C$23,MATCH(B120,'Scoring Prompt'!$A$22:$A$23,0))</f>
        <v>3</v>
      </c>
      <c r="I120" s="24">
        <f>INDEX('Scoring Prompt'!$D$22:$D$23,MATCH(B120,'Scoring Prompt'!$A$22:$A$23,0))</f>
        <v>6</v>
      </c>
      <c r="J120" s="24">
        <f>INDEX('Scoring Prompt'!$B$27:$C$34,MATCH(C120,'Scoring Prompt'!$A$27:$A$34,0),MATCH(B120,'Scoring Prompt'!$B$26:$C$26,0))</f>
        <v>15</v>
      </c>
      <c r="K120" s="24">
        <f>IF(AND(D120&gt;=H120,D120&lt;=I120),'Scoring Prompt'!$B$47,IF(D120&lt;H120,IF(H120-D120&lt;=1,'Scoring Prompt'!$B$48,IF(H120-D120&lt;=2,'Scoring Prompt'!$B$49,'Scoring Prompt'!$B$50)),IF(D120-I120&lt;=2,'Scoring Prompt'!$B$51,'Scoring Prompt'!$B$52)))</f>
        <v>25</v>
      </c>
      <c r="L120" s="24">
        <f>IF(B120="JD3",SUMPRODUCT(--ISNUMBER(SEARCH('Scoring Prompt'!$E$22:$I$22,E120))),SUMPRODUCT(--ISNUMBER(SEARCH('Scoring Prompt'!$E$23:$I$23,E120))))</f>
        <v>1</v>
      </c>
      <c r="M120" s="24">
        <f t="shared" si="34"/>
        <v>8</v>
      </c>
      <c r="N120" s="24">
        <f>INDEX('Scoring Prompt'!$B$38:$C$43,MATCH(G120,'Scoring Prompt'!$A$38:$A$43,0),MATCH(B120,'Scoring Prompt'!$B$37:$C$37,0))</f>
        <v>3</v>
      </c>
      <c r="O120" s="24">
        <f t="shared" si="35"/>
        <v>51</v>
      </c>
      <c r="P120" s="24">
        <f>'Scored Shortlist'!E120</f>
        <v>15</v>
      </c>
      <c r="Q120" s="24">
        <f>'Scored Shortlist'!F120</f>
        <v>25</v>
      </c>
      <c r="R120" s="24">
        <f>'Scored Shortlist'!G120</f>
        <v>12</v>
      </c>
      <c r="S120" s="24">
        <f>'Scored Shortlist'!H120</f>
        <v>3</v>
      </c>
      <c r="T120" s="24">
        <f>'Scored Shortlist'!I120</f>
        <v>55</v>
      </c>
      <c r="U120" s="24">
        <f>IF('Scored Shortlist'!M120="none",0,(LEN('Scored Shortlist'!M120)-LEN(SUBSTITUTE('Scored Shortlist'!M120,"&lt;-","")))/2)</f>
        <v>1</v>
      </c>
      <c r="V120" s="24">
        <f t="shared" si="36"/>
        <v>1</v>
      </c>
      <c r="W120" s="24">
        <f t="shared" si="37"/>
        <v>1</v>
      </c>
      <c r="X120" s="24">
        <f t="shared" si="38"/>
        <v>1</v>
      </c>
      <c r="Y120" s="24">
        <f t="shared" si="39"/>
        <v>4</v>
      </c>
      <c r="Z120" s="24">
        <f t="shared" si="40"/>
        <v>4</v>
      </c>
      <c r="AA120" s="24">
        <f t="shared" si="41"/>
        <v>1</v>
      </c>
      <c r="AB120" s="25" t="str">
        <f t="shared" si="42"/>
        <v>OK</v>
      </c>
      <c r="AC120" s="24" t="str">
        <f t="shared" si="43"/>
        <v>Not shortlisted</v>
      </c>
      <c r="AD120" s="24" t="str">
        <f>IF(ISNUMBER(SEARCH(" "&amp;LEFT('Scored Shortlist'!B120,FIND(" ",'Scored Shortlist'!B120)-1)&amp;" "," "&amp;'Scored Shortlist'!N120&amp;" ")),"YES","no")</f>
        <v>no</v>
      </c>
    </row>
    <row r="121" spans="1:30" x14ac:dyDescent="0.25">
      <c r="A121" s="24" t="str">
        <f>'Scored Shortlist'!A121</f>
        <v>CV067</v>
      </c>
      <c r="B121" s="24" t="str">
        <f>'Scored Shortlist'!C121</f>
        <v>JD5</v>
      </c>
      <c r="C121" s="24" t="str">
        <f>INDEX(Resumes!$D$2:$D$101,MATCH(A121,Resumes!$A$2:$A$101,0))</f>
        <v>MBA HR</v>
      </c>
      <c r="D121" s="24">
        <f>INDEX(Resumes!$E$2:$E$101,MATCH(A121,Resumes!$A$2:$A$101,0))</f>
        <v>8.9</v>
      </c>
      <c r="E121" s="24" t="str">
        <f>INDEX(Resumes!$G$2:$G$101,MATCH(A121,Resumes!$A$2:$A$101,0))</f>
        <v>demand forecasting, product roadmap, vendor management, HR analytics, public speaking, employee relations, user research, SQL</v>
      </c>
      <c r="F121" s="24" t="str">
        <f>INDEX(Resumes!$I$2:$I$101,MATCH(A121,Resumes!$A$2:$A$101,0))</f>
        <v>Priya Khan, MBA HR from a tier-3 institute. 8.9 years of experience, most recently at a fintech start-up. Key skills: demand forecasting, product roadmap, vendor management, HR analytics, public speaking, employee relations, user research, SQL. Achievement: no major achievement listed. Career gap: 6-month gap (exam preparation).</v>
      </c>
      <c r="G121" s="24" t="str">
        <f t="shared" si="33"/>
        <v>no major achievement listed</v>
      </c>
      <c r="H121" s="24">
        <f>INDEX('Scoring Prompt'!$C$22:$C$23,MATCH(B121,'Scoring Prompt'!$A$22:$A$23,0))</f>
        <v>3</v>
      </c>
      <c r="I121" s="24">
        <f>INDEX('Scoring Prompt'!$D$22:$D$23,MATCH(B121,'Scoring Prompt'!$A$22:$A$23,0))</f>
        <v>6</v>
      </c>
      <c r="J121" s="24">
        <f>INDEX('Scoring Prompt'!$B$27:$C$34,MATCH(C121,'Scoring Prompt'!$A$27:$A$34,0),MATCH(B121,'Scoring Prompt'!$B$26:$C$26,0))</f>
        <v>15</v>
      </c>
      <c r="K121" s="24">
        <f>IF(AND(D121&gt;=H121,D121&lt;=I121),'Scoring Prompt'!$B$47,IF(D121&lt;H121,IF(H121-D121&lt;=1,'Scoring Prompt'!$B$48,IF(H121-D121&lt;=2,'Scoring Prompt'!$B$49,'Scoring Prompt'!$B$50)),IF(D121-I121&lt;=2,'Scoring Prompt'!$B$51,'Scoring Prompt'!$B$52)))</f>
        <v>12</v>
      </c>
      <c r="L121" s="24">
        <f>IF(B121="JD3",SUMPRODUCT(--ISNUMBER(SEARCH('Scoring Prompt'!$E$22:$I$22,E121))),SUMPRODUCT(--ISNUMBER(SEARCH('Scoring Prompt'!$E$23:$I$23,E121))))</f>
        <v>3</v>
      </c>
      <c r="M121" s="24">
        <f t="shared" si="34"/>
        <v>24</v>
      </c>
      <c r="N121" s="24">
        <f>INDEX('Scoring Prompt'!$B$38:$C$43,MATCH(G121,'Scoring Prompt'!$A$38:$A$43,0),MATCH(B121,'Scoring Prompt'!$B$37:$C$37,0))</f>
        <v>0</v>
      </c>
      <c r="O121" s="24">
        <f t="shared" si="35"/>
        <v>51</v>
      </c>
      <c r="P121" s="24">
        <f>'Scored Shortlist'!E121</f>
        <v>15</v>
      </c>
      <c r="Q121" s="24">
        <f>'Scored Shortlist'!F121</f>
        <v>12</v>
      </c>
      <c r="R121" s="24">
        <f>'Scored Shortlist'!G121</f>
        <v>28</v>
      </c>
      <c r="S121" s="24">
        <f>'Scored Shortlist'!H121</f>
        <v>0</v>
      </c>
      <c r="T121" s="24">
        <f>'Scored Shortlist'!I121</f>
        <v>55</v>
      </c>
      <c r="U121" s="24">
        <f>IF('Scored Shortlist'!M121="none",0,(LEN('Scored Shortlist'!M121)-LEN(SUBSTITUTE('Scored Shortlist'!M121,"&lt;-","")))/2)</f>
        <v>1</v>
      </c>
      <c r="V121" s="24">
        <f t="shared" si="36"/>
        <v>1</v>
      </c>
      <c r="W121" s="24">
        <f t="shared" si="37"/>
        <v>1</v>
      </c>
      <c r="X121" s="24">
        <f t="shared" si="38"/>
        <v>1</v>
      </c>
      <c r="Y121" s="24">
        <f t="shared" si="39"/>
        <v>4</v>
      </c>
      <c r="Z121" s="24">
        <f t="shared" si="40"/>
        <v>4</v>
      </c>
      <c r="AA121" s="24">
        <f t="shared" si="41"/>
        <v>1</v>
      </c>
      <c r="AB121" s="25" t="str">
        <f t="shared" si="42"/>
        <v>OK</v>
      </c>
      <c r="AC121" s="24" t="str">
        <f t="shared" si="43"/>
        <v>Not shortlisted</v>
      </c>
      <c r="AD121" s="24" t="str">
        <f>IF(ISNUMBER(SEARCH(" "&amp;LEFT('Scored Shortlist'!B121,FIND(" ",'Scored Shortlist'!B121)-1)&amp;" "," "&amp;'Scored Shortlist'!N121&amp;" ")),"YES","no")</f>
        <v>no</v>
      </c>
    </row>
    <row r="122" spans="1:30" x14ac:dyDescent="0.25">
      <c r="A122" s="24" t="str">
        <f>'Scored Shortlist'!A122</f>
        <v>CV072</v>
      </c>
      <c r="B122" s="24" t="str">
        <f>'Scored Shortlist'!C122</f>
        <v>JD5</v>
      </c>
      <c r="C122" s="24" t="str">
        <f>INDEX(Resumes!$D$2:$D$101,MATCH(A122,Resumes!$A$2:$A$101,0))</f>
        <v>MBA Operations</v>
      </c>
      <c r="D122" s="24">
        <f>INDEX(Resumes!$E$2:$E$101,MATCH(A122,Resumes!$A$2:$A$101,0))</f>
        <v>4.8</v>
      </c>
      <c r="E122" s="24" t="str">
        <f>INDEX(Resumes!$G$2:$G$101,MATCH(A122,Resumes!$A$2:$A$101,0))</f>
        <v>public speaking, campaign management, financial modelling, agile</v>
      </c>
      <c r="F122" s="24" t="str">
        <f>INDEX(Resumes!$I$2:$I$101,MATCH(A122,Resumes!$A$2:$A$101,0))</f>
        <v>Farhan Banerjee, MBA Operations from a tier-2 institute. 4.8 years of experience, most recently at an IT services firm. Key skills: public speaking, campaign management, financial modelling, agile. Achievement: built a Power BI sales dashboard used by 30 managers. Career gap: None.</v>
      </c>
      <c r="G122" s="24" t="str">
        <f t="shared" si="33"/>
        <v>built a Power BI sales dashboard used by 30 managers</v>
      </c>
      <c r="H122" s="24">
        <f>INDEX('Scoring Prompt'!$C$22:$C$23,MATCH(B122,'Scoring Prompt'!$A$22:$A$23,0))</f>
        <v>3</v>
      </c>
      <c r="I122" s="24">
        <f>INDEX('Scoring Prompt'!$D$22:$D$23,MATCH(B122,'Scoring Prompt'!$A$22:$A$23,0))</f>
        <v>6</v>
      </c>
      <c r="J122" s="24">
        <f>INDEX('Scoring Prompt'!$B$27:$C$34,MATCH(C122,'Scoring Prompt'!$A$27:$A$34,0),MATCH(B122,'Scoring Prompt'!$B$26:$C$26,0))</f>
        <v>15</v>
      </c>
      <c r="K122" s="24">
        <f>IF(AND(D122&gt;=H122,D122&lt;=I122),'Scoring Prompt'!$B$47,IF(D122&lt;H122,IF(H122-D122&lt;=1,'Scoring Prompt'!$B$48,IF(H122-D122&lt;=2,'Scoring Prompt'!$B$49,'Scoring Prompt'!$B$50)),IF(D122-I122&lt;=2,'Scoring Prompt'!$B$51,'Scoring Prompt'!$B$52)))</f>
        <v>25</v>
      </c>
      <c r="L122" s="24">
        <f>IF(B122="JD3",SUMPRODUCT(--ISNUMBER(SEARCH('Scoring Prompt'!$E$22:$I$22,E122))),SUMPRODUCT(--ISNUMBER(SEARCH('Scoring Prompt'!$E$23:$I$23,E122))))</f>
        <v>1</v>
      </c>
      <c r="M122" s="24">
        <f t="shared" si="34"/>
        <v>8</v>
      </c>
      <c r="N122" s="24">
        <f>INDEX('Scoring Prompt'!$B$38:$C$43,MATCH(G122,'Scoring Prompt'!$A$38:$A$43,0),MATCH(B122,'Scoring Prompt'!$B$37:$C$37,0))</f>
        <v>7</v>
      </c>
      <c r="O122" s="24">
        <f t="shared" si="35"/>
        <v>55</v>
      </c>
      <c r="P122" s="24">
        <f>'Scored Shortlist'!E122</f>
        <v>15</v>
      </c>
      <c r="Q122" s="24">
        <f>'Scored Shortlist'!F122</f>
        <v>25</v>
      </c>
      <c r="R122" s="24">
        <f>'Scored Shortlist'!G122</f>
        <v>8</v>
      </c>
      <c r="S122" s="24">
        <f>'Scored Shortlist'!H122</f>
        <v>7</v>
      </c>
      <c r="T122" s="24">
        <f>'Scored Shortlist'!I122</f>
        <v>55</v>
      </c>
      <c r="U122" s="24">
        <f>IF('Scored Shortlist'!M122="none",0,(LEN('Scored Shortlist'!M122)-LEN(SUBSTITUTE('Scored Shortlist'!M122,"&lt;-","")))/2)</f>
        <v>0</v>
      </c>
      <c r="V122" s="24">
        <f t="shared" si="36"/>
        <v>1</v>
      </c>
      <c r="W122" s="24">
        <f t="shared" si="37"/>
        <v>1</v>
      </c>
      <c r="X122" s="24">
        <f t="shared" si="38"/>
        <v>1</v>
      </c>
      <c r="Y122" s="24">
        <f t="shared" si="39"/>
        <v>0</v>
      </c>
      <c r="Z122" s="24">
        <f t="shared" si="40"/>
        <v>0</v>
      </c>
      <c r="AA122" s="24">
        <f t="shared" si="41"/>
        <v>1</v>
      </c>
      <c r="AB122" s="25" t="str">
        <f t="shared" si="42"/>
        <v>OK</v>
      </c>
      <c r="AC122" s="24" t="str">
        <f t="shared" si="43"/>
        <v>Review</v>
      </c>
      <c r="AD122" s="24" t="str">
        <f>IF(ISNUMBER(SEARCH(" "&amp;LEFT('Scored Shortlist'!B122,FIND(" ",'Scored Shortlist'!B122)-1)&amp;" "," "&amp;'Scored Shortlist'!N122&amp;" ")),"YES","no")</f>
        <v>no</v>
      </c>
    </row>
    <row r="123" spans="1:30" x14ac:dyDescent="0.25">
      <c r="A123" s="24" t="str">
        <f>'Scored Shortlist'!A123</f>
        <v>CV059</v>
      </c>
      <c r="B123" s="24" t="str">
        <f>'Scored Shortlist'!C123</f>
        <v>JD5</v>
      </c>
      <c r="C123" s="24" t="str">
        <f>INDEX(Resumes!$D$2:$D$101,MATCH(A123,Resumes!$A$2:$A$101,0))</f>
        <v>B.Com</v>
      </c>
      <c r="D123" s="24">
        <f>INDEX(Resumes!$E$2:$E$101,MATCH(A123,Resumes!$A$2:$A$101,0))</f>
        <v>4.7</v>
      </c>
      <c r="E123" s="24" t="str">
        <f>INDEX(Resumes!$G$2:$G$101,MATCH(A123,Resumes!$A$2:$A$101,0))</f>
        <v>user research, employee relations, campaign management, UPI/payments, SQL, content writing, recruitment, Power BI</v>
      </c>
      <c r="F123" s="24" t="str">
        <f>INDEX(Resumes!$I$2:$I$101,MATCH(A123,Resumes!$A$2:$A$101,0))</f>
        <v>Simran Mehta, B.Com from a tier-1 institute. 4.7 years of experience, most recently at a fintech start-up. Key skills: user research, employee relations, campaign management, UPI/payments, SQL, content writing, recruitment, Power BI. Achievement: no major achievement listed. Career gap: 1-year career break (family).</v>
      </c>
      <c r="G123" s="24" t="str">
        <f t="shared" si="33"/>
        <v>no major achievement listed</v>
      </c>
      <c r="H123" s="24">
        <f>INDEX('Scoring Prompt'!$C$22:$C$23,MATCH(B123,'Scoring Prompt'!$A$22:$A$23,0))</f>
        <v>3</v>
      </c>
      <c r="I123" s="24">
        <f>INDEX('Scoring Prompt'!$D$22:$D$23,MATCH(B123,'Scoring Prompt'!$A$22:$A$23,0))</f>
        <v>6</v>
      </c>
      <c r="J123" s="24">
        <f>INDEX('Scoring Prompt'!$B$27:$C$34,MATCH(C123,'Scoring Prompt'!$A$27:$A$34,0),MATCH(B123,'Scoring Prompt'!$B$26:$C$26,0))</f>
        <v>5</v>
      </c>
      <c r="K123" s="24">
        <f>IF(AND(D123&gt;=H123,D123&lt;=I123),'Scoring Prompt'!$B$47,IF(D123&lt;H123,IF(H123-D123&lt;=1,'Scoring Prompt'!$B$48,IF(H123-D123&lt;=2,'Scoring Prompt'!$B$49,'Scoring Prompt'!$B$50)),IF(D123-I123&lt;=2,'Scoring Prompt'!$B$51,'Scoring Prompt'!$B$52)))</f>
        <v>25</v>
      </c>
      <c r="L123" s="24">
        <f>IF(B123="JD3",SUMPRODUCT(--ISNUMBER(SEARCH('Scoring Prompt'!$E$22:$I$22,E123))),SUMPRODUCT(--ISNUMBER(SEARCH('Scoring Prompt'!$E$23:$I$23,E123))))</f>
        <v>3</v>
      </c>
      <c r="M123" s="24">
        <f t="shared" si="34"/>
        <v>24</v>
      </c>
      <c r="N123" s="24">
        <f>INDEX('Scoring Prompt'!$B$38:$C$43,MATCH(G123,'Scoring Prompt'!$A$38:$A$43,0),MATCH(B123,'Scoring Prompt'!$B$37:$C$37,0))</f>
        <v>0</v>
      </c>
      <c r="O123" s="24">
        <f t="shared" si="35"/>
        <v>54</v>
      </c>
      <c r="P123" s="24">
        <f>'Scored Shortlist'!E123</f>
        <v>5</v>
      </c>
      <c r="Q123" s="24">
        <f>'Scored Shortlist'!F123</f>
        <v>25</v>
      </c>
      <c r="R123" s="24">
        <f>'Scored Shortlist'!G123</f>
        <v>24</v>
      </c>
      <c r="S123" s="24">
        <f>'Scored Shortlist'!H123</f>
        <v>0</v>
      </c>
      <c r="T123" s="24">
        <f>'Scored Shortlist'!I123</f>
        <v>54</v>
      </c>
      <c r="U123" s="24">
        <f>IF('Scored Shortlist'!M123="none",0,(LEN('Scored Shortlist'!M123)-LEN(SUBSTITUTE('Scored Shortlist'!M123,"&lt;-","")))/2)</f>
        <v>0</v>
      </c>
      <c r="V123" s="24">
        <f t="shared" si="36"/>
        <v>1</v>
      </c>
      <c r="W123" s="24">
        <f t="shared" si="37"/>
        <v>1</v>
      </c>
      <c r="X123" s="24">
        <f t="shared" si="38"/>
        <v>1</v>
      </c>
      <c r="Y123" s="24">
        <f t="shared" si="39"/>
        <v>0</v>
      </c>
      <c r="Z123" s="24">
        <f t="shared" si="40"/>
        <v>0</v>
      </c>
      <c r="AA123" s="24">
        <f t="shared" si="41"/>
        <v>1</v>
      </c>
      <c r="AB123" s="25" t="str">
        <f t="shared" si="42"/>
        <v>OK</v>
      </c>
      <c r="AC123" s="24" t="str">
        <f t="shared" si="43"/>
        <v>Not shortlisted</v>
      </c>
      <c r="AD123" s="24" t="str">
        <f>IF(ISNUMBER(SEARCH(" "&amp;LEFT('Scored Shortlist'!B123,FIND(" ",'Scored Shortlist'!B123)-1)&amp;" "," "&amp;'Scored Shortlist'!N123&amp;" ")),"YES","no")</f>
        <v>no</v>
      </c>
    </row>
    <row r="124" spans="1:30" x14ac:dyDescent="0.25">
      <c r="A124" s="24" t="str">
        <f>'Scored Shortlist'!A124</f>
        <v>CV033</v>
      </c>
      <c r="B124" s="24" t="str">
        <f>'Scored Shortlist'!C124</f>
        <v>JD5</v>
      </c>
      <c r="C124" s="24" t="str">
        <f>INDEX(Resumes!$D$2:$D$101,MATCH(A124,Resumes!$A$2:$A$101,0))</f>
        <v>MBA HR</v>
      </c>
      <c r="D124" s="24">
        <f>INDEX(Resumes!$E$2:$E$101,MATCH(A124,Resumes!$A$2:$A$101,0))</f>
        <v>3.9</v>
      </c>
      <c r="E124" s="24" t="str">
        <f>INDEX(Resumes!$G$2:$G$101,MATCH(A124,Resumes!$A$2:$A$101,0))</f>
        <v>Google Analytics, content writing, agile, Python, labour law, negotiation</v>
      </c>
      <c r="F124" s="24" t="str">
        <f>INDEX(Resumes!$I$2:$I$101,MATCH(A124,Resumes!$A$2:$A$101,0))</f>
        <v>Aditya Banerjee, MBA HR from a tier-2 institute. 3.9 years of experience, most recently at a retail chain. Key skills: Google Analytics, content writing, agile, Python, labour law, negotiation. Achievement: led a 5-member campus marketing team. Career gap: None.</v>
      </c>
      <c r="G124" s="24" t="str">
        <f t="shared" si="33"/>
        <v>led a 5-member campus marketing team</v>
      </c>
      <c r="H124" s="24">
        <f>INDEX('Scoring Prompt'!$C$22:$C$23,MATCH(B124,'Scoring Prompt'!$A$22:$A$23,0))</f>
        <v>3</v>
      </c>
      <c r="I124" s="24">
        <f>INDEX('Scoring Prompt'!$D$22:$D$23,MATCH(B124,'Scoring Prompt'!$A$22:$A$23,0))</f>
        <v>6</v>
      </c>
      <c r="J124" s="24">
        <f>INDEX('Scoring Prompt'!$B$27:$C$34,MATCH(C124,'Scoring Prompt'!$A$27:$A$34,0),MATCH(B124,'Scoring Prompt'!$B$26:$C$26,0))</f>
        <v>15</v>
      </c>
      <c r="K124" s="24">
        <f>IF(AND(D124&gt;=H124,D124&lt;=I124),'Scoring Prompt'!$B$47,IF(D124&lt;H124,IF(H124-D124&lt;=1,'Scoring Prompt'!$B$48,IF(H124-D124&lt;=2,'Scoring Prompt'!$B$49,'Scoring Prompt'!$B$50)),IF(D124-I124&lt;=2,'Scoring Prompt'!$B$51,'Scoring Prompt'!$B$52)))</f>
        <v>25</v>
      </c>
      <c r="L124" s="24">
        <f>IF(B124="JD3",SUMPRODUCT(--ISNUMBER(SEARCH('Scoring Prompt'!$E$22:$I$22,E124))),SUMPRODUCT(--ISNUMBER(SEARCH('Scoring Prompt'!$E$23:$I$23,E124))))</f>
        <v>1</v>
      </c>
      <c r="M124" s="24">
        <f t="shared" si="34"/>
        <v>8</v>
      </c>
      <c r="N124" s="24">
        <f>INDEX('Scoring Prompt'!$B$38:$C$43,MATCH(G124,'Scoring Prompt'!$A$38:$A$43,0),MATCH(B124,'Scoring Prompt'!$B$37:$C$37,0))</f>
        <v>5</v>
      </c>
      <c r="O124" s="24">
        <f t="shared" si="35"/>
        <v>53</v>
      </c>
      <c r="P124" s="24">
        <f>'Scored Shortlist'!E124</f>
        <v>15</v>
      </c>
      <c r="Q124" s="24">
        <f>'Scored Shortlist'!F124</f>
        <v>25</v>
      </c>
      <c r="R124" s="24">
        <f>'Scored Shortlist'!G124</f>
        <v>8</v>
      </c>
      <c r="S124" s="24">
        <f>'Scored Shortlist'!H124</f>
        <v>5</v>
      </c>
      <c r="T124" s="24">
        <f>'Scored Shortlist'!I124</f>
        <v>53</v>
      </c>
      <c r="U124" s="24">
        <f>IF('Scored Shortlist'!M124="none",0,(LEN('Scored Shortlist'!M124)-LEN(SUBSTITUTE('Scored Shortlist'!M124,"&lt;-","")))/2)</f>
        <v>0</v>
      </c>
      <c r="V124" s="24">
        <f t="shared" si="36"/>
        <v>1</v>
      </c>
      <c r="W124" s="24">
        <f t="shared" si="37"/>
        <v>1</v>
      </c>
      <c r="X124" s="24">
        <f t="shared" si="38"/>
        <v>1</v>
      </c>
      <c r="Y124" s="24">
        <f t="shared" si="39"/>
        <v>0</v>
      </c>
      <c r="Z124" s="24">
        <f t="shared" si="40"/>
        <v>0</v>
      </c>
      <c r="AA124" s="24">
        <f t="shared" si="41"/>
        <v>1</v>
      </c>
      <c r="AB124" s="25" t="str">
        <f t="shared" si="42"/>
        <v>OK</v>
      </c>
      <c r="AC124" s="24" t="str">
        <f t="shared" si="43"/>
        <v>Not shortlisted</v>
      </c>
      <c r="AD124" s="24" t="str">
        <f>IF(ISNUMBER(SEARCH(" "&amp;LEFT('Scored Shortlist'!B124,FIND(" ",'Scored Shortlist'!B124)-1)&amp;" "," "&amp;'Scored Shortlist'!N124&amp;" ")),"YES","no")</f>
        <v>no</v>
      </c>
    </row>
    <row r="125" spans="1:30" x14ac:dyDescent="0.25">
      <c r="A125" s="24" t="str">
        <f>'Scored Shortlist'!A125</f>
        <v>CV049</v>
      </c>
      <c r="B125" s="24" t="str">
        <f>'Scored Shortlist'!C125</f>
        <v>JD5</v>
      </c>
      <c r="C125" s="24" t="str">
        <f>INDEX(Resumes!$D$2:$D$101,MATCH(A125,Resumes!$A$2:$A$101,0))</f>
        <v>MBA Operations</v>
      </c>
      <c r="D125" s="24">
        <f>INDEX(Resumes!$E$2:$E$101,MATCH(A125,Resumes!$A$2:$A$101,0))</f>
        <v>3.7</v>
      </c>
      <c r="E125" s="24" t="str">
        <f>INDEX(Resumes!$G$2:$G$101,MATCH(A125,Resumes!$A$2:$A$101,0))</f>
        <v>SEO, recruitment, demand forecasting, Google Analytics, agile, valuation, stakeholder management</v>
      </c>
      <c r="F125" s="24" t="str">
        <f>INDEX(Resumes!$I$2:$I$101,MATCH(A125,Resumes!$A$2:$A$101,0))</f>
        <v>Vikram Sharma, MBA Operations from a tier-2 institute. 3.7 years of experience, most recently at a manufacturing company. Key skills: SEO, recruitment, demand forecasting, Google Analytics, agile, valuation, stakeholder management. Achievement: led a 5-member campus marketing team. Career gap: 1-year career break (family).</v>
      </c>
      <c r="G125" s="24" t="str">
        <f t="shared" si="33"/>
        <v>led a 5-member campus marketing team</v>
      </c>
      <c r="H125" s="24">
        <f>INDEX('Scoring Prompt'!$C$22:$C$23,MATCH(B125,'Scoring Prompt'!$A$22:$A$23,0))</f>
        <v>3</v>
      </c>
      <c r="I125" s="24">
        <f>INDEX('Scoring Prompt'!$D$22:$D$23,MATCH(B125,'Scoring Prompt'!$A$22:$A$23,0))</f>
        <v>6</v>
      </c>
      <c r="J125" s="24">
        <f>INDEX('Scoring Prompt'!$B$27:$C$34,MATCH(C125,'Scoring Prompt'!$A$27:$A$34,0),MATCH(B125,'Scoring Prompt'!$B$26:$C$26,0))</f>
        <v>15</v>
      </c>
      <c r="K125" s="24">
        <f>IF(AND(D125&gt;=H125,D125&lt;=I125),'Scoring Prompt'!$B$47,IF(D125&lt;H125,IF(H125-D125&lt;=1,'Scoring Prompt'!$B$48,IF(H125-D125&lt;=2,'Scoring Prompt'!$B$49,'Scoring Prompt'!$B$50)),IF(D125-I125&lt;=2,'Scoring Prompt'!$B$51,'Scoring Prompt'!$B$52)))</f>
        <v>25</v>
      </c>
      <c r="L125" s="24">
        <f>IF(B125="JD3",SUMPRODUCT(--ISNUMBER(SEARCH('Scoring Prompt'!$E$22:$I$22,E125))),SUMPRODUCT(--ISNUMBER(SEARCH('Scoring Prompt'!$E$23:$I$23,E125))))</f>
        <v>1</v>
      </c>
      <c r="M125" s="24">
        <f t="shared" si="34"/>
        <v>8</v>
      </c>
      <c r="N125" s="24">
        <f>INDEX('Scoring Prompt'!$B$38:$C$43,MATCH(G125,'Scoring Prompt'!$A$38:$A$43,0),MATCH(B125,'Scoring Prompt'!$B$37:$C$37,0))</f>
        <v>5</v>
      </c>
      <c r="O125" s="24">
        <f t="shared" si="35"/>
        <v>53</v>
      </c>
      <c r="P125" s="24">
        <f>'Scored Shortlist'!E125</f>
        <v>15</v>
      </c>
      <c r="Q125" s="24">
        <f>'Scored Shortlist'!F125</f>
        <v>25</v>
      </c>
      <c r="R125" s="24">
        <f>'Scored Shortlist'!G125</f>
        <v>8</v>
      </c>
      <c r="S125" s="24">
        <f>'Scored Shortlist'!H125</f>
        <v>5</v>
      </c>
      <c r="T125" s="24">
        <f>'Scored Shortlist'!I125</f>
        <v>53</v>
      </c>
      <c r="U125" s="24">
        <f>IF('Scored Shortlist'!M125="none",0,(LEN('Scored Shortlist'!M125)-LEN(SUBSTITUTE('Scored Shortlist'!M125,"&lt;-","")))/2)</f>
        <v>0</v>
      </c>
      <c r="V125" s="24">
        <f t="shared" si="36"/>
        <v>1</v>
      </c>
      <c r="W125" s="24">
        <f t="shared" si="37"/>
        <v>1</v>
      </c>
      <c r="X125" s="24">
        <f t="shared" si="38"/>
        <v>1</v>
      </c>
      <c r="Y125" s="24">
        <f t="shared" si="39"/>
        <v>0</v>
      </c>
      <c r="Z125" s="24">
        <f t="shared" si="40"/>
        <v>0</v>
      </c>
      <c r="AA125" s="24">
        <f t="shared" si="41"/>
        <v>1</v>
      </c>
      <c r="AB125" s="25" t="str">
        <f t="shared" si="42"/>
        <v>OK</v>
      </c>
      <c r="AC125" s="24" t="str">
        <f t="shared" si="43"/>
        <v>Not shortlisted</v>
      </c>
      <c r="AD125" s="24" t="str">
        <f>IF(ISNUMBER(SEARCH(" "&amp;LEFT('Scored Shortlist'!B125,FIND(" ",'Scored Shortlist'!B125)-1)&amp;" "," "&amp;'Scored Shortlist'!N125&amp;" ")),"YES","no")</f>
        <v>no</v>
      </c>
    </row>
    <row r="126" spans="1:30" x14ac:dyDescent="0.25">
      <c r="A126" s="24" t="str">
        <f>'Scored Shortlist'!A126</f>
        <v>CV081</v>
      </c>
      <c r="B126" s="24" t="str">
        <f>'Scored Shortlist'!C126</f>
        <v>JD5</v>
      </c>
      <c r="C126" s="24" t="str">
        <f>INDEX(Resumes!$D$2:$D$101,MATCH(A126,Resumes!$A$2:$A$101,0))</f>
        <v>MBA Marketing</v>
      </c>
      <c r="D126" s="24">
        <f>INDEX(Resumes!$E$2:$E$101,MATCH(A126,Resumes!$A$2:$A$101,0))</f>
        <v>4.3</v>
      </c>
      <c r="E126" s="24" t="str">
        <f>INDEX(Resumes!$G$2:$G$101,MATCH(A126,Resumes!$A$2:$A$101,0))</f>
        <v>Power BI, product roadmap, negotiation, Tableau, Python</v>
      </c>
      <c r="F126" s="24" t="str">
        <f>INDEX(Resumes!$I$2:$I$101,MATCH(A126,Resumes!$A$2:$A$101,0))</f>
        <v>Kabir Reddy, MBA Marketing from a tier-2 institute. 4.3 years of experience, most recently at a retail chain. Key skills: Power BI, product roadmap, negotiation, Tableau, Python. Achievement: led a 5-member campus marketing team. Career gap: None.</v>
      </c>
      <c r="G126" s="24" t="str">
        <f t="shared" si="33"/>
        <v>led a 5-member campus marketing team</v>
      </c>
      <c r="H126" s="24">
        <f>INDEX('Scoring Prompt'!$C$22:$C$23,MATCH(B126,'Scoring Prompt'!$A$22:$A$23,0))</f>
        <v>3</v>
      </c>
      <c r="I126" s="24">
        <f>INDEX('Scoring Prompt'!$D$22:$D$23,MATCH(B126,'Scoring Prompt'!$A$22:$A$23,0))</f>
        <v>6</v>
      </c>
      <c r="J126" s="24">
        <f>INDEX('Scoring Prompt'!$B$27:$C$34,MATCH(C126,'Scoring Prompt'!$A$27:$A$34,0),MATCH(B126,'Scoring Prompt'!$B$26:$C$26,0))</f>
        <v>15</v>
      </c>
      <c r="K126" s="24">
        <f>IF(AND(D126&gt;=H126,D126&lt;=I126),'Scoring Prompt'!$B$47,IF(D126&lt;H126,IF(H126-D126&lt;=1,'Scoring Prompt'!$B$48,IF(H126-D126&lt;=2,'Scoring Prompt'!$B$49,'Scoring Prompt'!$B$50)),IF(D126-I126&lt;=2,'Scoring Prompt'!$B$51,'Scoring Prompt'!$B$52)))</f>
        <v>25</v>
      </c>
      <c r="L126" s="24">
        <f>IF(B126="JD3",SUMPRODUCT(--ISNUMBER(SEARCH('Scoring Prompt'!$E$22:$I$22,E126))),SUMPRODUCT(--ISNUMBER(SEARCH('Scoring Prompt'!$E$23:$I$23,E126))))</f>
        <v>1</v>
      </c>
      <c r="M126" s="24">
        <f t="shared" si="34"/>
        <v>8</v>
      </c>
      <c r="N126" s="24">
        <f>INDEX('Scoring Prompt'!$B$38:$C$43,MATCH(G126,'Scoring Prompt'!$A$38:$A$43,0),MATCH(B126,'Scoring Prompt'!$B$37:$C$37,0))</f>
        <v>5</v>
      </c>
      <c r="O126" s="24">
        <f t="shared" si="35"/>
        <v>53</v>
      </c>
      <c r="P126" s="24">
        <f>'Scored Shortlist'!E126</f>
        <v>15</v>
      </c>
      <c r="Q126" s="24">
        <f>'Scored Shortlist'!F126</f>
        <v>25</v>
      </c>
      <c r="R126" s="24">
        <f>'Scored Shortlist'!G126</f>
        <v>8</v>
      </c>
      <c r="S126" s="24">
        <f>'Scored Shortlist'!H126</f>
        <v>5</v>
      </c>
      <c r="T126" s="24">
        <f>'Scored Shortlist'!I126</f>
        <v>53</v>
      </c>
      <c r="U126" s="24">
        <f>IF('Scored Shortlist'!M126="none",0,(LEN('Scored Shortlist'!M126)-LEN(SUBSTITUTE('Scored Shortlist'!M126,"&lt;-","")))/2)</f>
        <v>0</v>
      </c>
      <c r="V126" s="24">
        <f t="shared" si="36"/>
        <v>1</v>
      </c>
      <c r="W126" s="24">
        <f t="shared" si="37"/>
        <v>1</v>
      </c>
      <c r="X126" s="24">
        <f t="shared" si="38"/>
        <v>1</v>
      </c>
      <c r="Y126" s="24">
        <f t="shared" si="39"/>
        <v>0</v>
      </c>
      <c r="Z126" s="24">
        <f t="shared" si="40"/>
        <v>0</v>
      </c>
      <c r="AA126" s="24">
        <f t="shared" si="41"/>
        <v>1</v>
      </c>
      <c r="AB126" s="25" t="str">
        <f t="shared" si="42"/>
        <v>OK</v>
      </c>
      <c r="AC126" s="24" t="str">
        <f t="shared" si="43"/>
        <v>Not shortlisted</v>
      </c>
      <c r="AD126" s="24" t="str">
        <f>IF(ISNUMBER(SEARCH(" "&amp;LEFT('Scored Shortlist'!B126,FIND(" ",'Scored Shortlist'!B126)-1)&amp;" "," "&amp;'Scored Shortlist'!N126&amp;" ")),"YES","no")</f>
        <v>no</v>
      </c>
    </row>
    <row r="127" spans="1:30" x14ac:dyDescent="0.25">
      <c r="A127" s="24" t="str">
        <f>'Scored Shortlist'!A127</f>
        <v>CV011</v>
      </c>
      <c r="B127" s="24" t="str">
        <f>'Scored Shortlist'!C127</f>
        <v>JD5</v>
      </c>
      <c r="C127" s="24" t="str">
        <f>INDEX(Resumes!$D$2:$D$101,MATCH(A127,Resumes!$A$2:$A$101,0))</f>
        <v>MBA Marketing</v>
      </c>
      <c r="D127" s="24">
        <f>INDEX(Resumes!$E$2:$E$101,MATCH(A127,Resumes!$A$2:$A$101,0))</f>
        <v>3.5</v>
      </c>
      <c r="E127" s="24" t="str">
        <f>INDEX(Resumes!$G$2:$G$101,MATCH(A127,Resumes!$A$2:$A$101,0))</f>
        <v>Power BI, employee relations, financial modelling, recruitment, demand forecasting, negotiation, Tableau, agile</v>
      </c>
      <c r="F127" s="24" t="str">
        <f>INDEX(Resumes!$I$2:$I$101,MATCH(A127,Resumes!$A$2:$A$101,0))</f>
        <v>Gauri Mishra, MBA Marketing from a tier-2 institute. 3.5 years of experience, most recently at an IT services firm. Key skills: Power BI, employee relations, financial modelling, recruitment, demand forecasting, negotiation, Tableau, agile. Achievement: improved vendor on-time delivery from 78% to 92%. Career gap: None.</v>
      </c>
      <c r="G127" s="24" t="str">
        <f t="shared" si="33"/>
        <v>improved vendor on-time delivery from 78% to 92%</v>
      </c>
      <c r="H127" s="24">
        <f>INDEX('Scoring Prompt'!$C$22:$C$23,MATCH(B127,'Scoring Prompt'!$A$22:$A$23,0))</f>
        <v>3</v>
      </c>
      <c r="I127" s="24">
        <f>INDEX('Scoring Prompt'!$D$22:$D$23,MATCH(B127,'Scoring Prompt'!$A$22:$A$23,0))</f>
        <v>6</v>
      </c>
      <c r="J127" s="24">
        <f>INDEX('Scoring Prompt'!$B$27:$C$34,MATCH(C127,'Scoring Prompt'!$A$27:$A$34,0),MATCH(B127,'Scoring Prompt'!$B$26:$C$26,0))</f>
        <v>15</v>
      </c>
      <c r="K127" s="24">
        <f>IF(AND(D127&gt;=H127,D127&lt;=I127),'Scoring Prompt'!$B$47,IF(D127&lt;H127,IF(H127-D127&lt;=1,'Scoring Prompt'!$B$48,IF(H127-D127&lt;=2,'Scoring Prompt'!$B$49,'Scoring Prompt'!$B$50)),IF(D127-I127&lt;=2,'Scoring Prompt'!$B$51,'Scoring Prompt'!$B$52)))</f>
        <v>25</v>
      </c>
      <c r="L127" s="24">
        <f>IF(B127="JD3",SUMPRODUCT(--ISNUMBER(SEARCH('Scoring Prompt'!$E$22:$I$22,E127))),SUMPRODUCT(--ISNUMBER(SEARCH('Scoring Prompt'!$E$23:$I$23,E127))))</f>
        <v>1</v>
      </c>
      <c r="M127" s="24">
        <f t="shared" si="34"/>
        <v>8</v>
      </c>
      <c r="N127" s="24">
        <f>INDEX('Scoring Prompt'!$B$38:$C$43,MATCH(G127,'Scoring Prompt'!$A$38:$A$43,0),MATCH(B127,'Scoring Prompt'!$B$37:$C$37,0))</f>
        <v>4</v>
      </c>
      <c r="O127" s="24">
        <f t="shared" si="35"/>
        <v>52</v>
      </c>
      <c r="P127" s="24">
        <f>'Scored Shortlist'!E127</f>
        <v>15</v>
      </c>
      <c r="Q127" s="24">
        <f>'Scored Shortlist'!F127</f>
        <v>25</v>
      </c>
      <c r="R127" s="24">
        <f>'Scored Shortlist'!G127</f>
        <v>8</v>
      </c>
      <c r="S127" s="24">
        <f>'Scored Shortlist'!H127</f>
        <v>4</v>
      </c>
      <c r="T127" s="24">
        <f>'Scored Shortlist'!I127</f>
        <v>52</v>
      </c>
      <c r="U127" s="24">
        <f>IF('Scored Shortlist'!M127="none",0,(LEN('Scored Shortlist'!M127)-LEN(SUBSTITUTE('Scored Shortlist'!M127,"&lt;-","")))/2)</f>
        <v>0</v>
      </c>
      <c r="V127" s="24">
        <f t="shared" si="36"/>
        <v>1</v>
      </c>
      <c r="W127" s="24">
        <f t="shared" si="37"/>
        <v>1</v>
      </c>
      <c r="X127" s="24">
        <f t="shared" si="38"/>
        <v>1</v>
      </c>
      <c r="Y127" s="24">
        <f t="shared" si="39"/>
        <v>0</v>
      </c>
      <c r="Z127" s="24">
        <f t="shared" si="40"/>
        <v>0</v>
      </c>
      <c r="AA127" s="24">
        <f t="shared" si="41"/>
        <v>1</v>
      </c>
      <c r="AB127" s="25" t="str">
        <f t="shared" si="42"/>
        <v>OK</v>
      </c>
      <c r="AC127" s="24" t="str">
        <f t="shared" si="43"/>
        <v>Not shortlisted</v>
      </c>
      <c r="AD127" s="24" t="str">
        <f>IF(ISNUMBER(SEARCH(" "&amp;LEFT('Scored Shortlist'!B127,FIND(" ",'Scored Shortlist'!B127)-1)&amp;" "," "&amp;'Scored Shortlist'!N127&amp;" ")),"YES","no")</f>
        <v>no</v>
      </c>
    </row>
    <row r="128" spans="1:30" x14ac:dyDescent="0.25">
      <c r="A128" s="24" t="str">
        <f>'Scored Shortlist'!A128</f>
        <v>CV034</v>
      </c>
      <c r="B128" s="24" t="str">
        <f>'Scored Shortlist'!C128</f>
        <v>JD5</v>
      </c>
      <c r="C128" s="24" t="str">
        <f>INDEX(Resumes!$D$2:$D$101,MATCH(A128,Resumes!$A$2:$A$101,0))</f>
        <v>MBA Operations</v>
      </c>
      <c r="D128" s="24">
        <f>INDEX(Resumes!$E$2:$E$101,MATCH(A128,Resumes!$A$2:$A$101,0))</f>
        <v>3.4</v>
      </c>
      <c r="E128" s="24" t="str">
        <f>INDEX(Resumes!$G$2:$G$101,MATCH(A128,Resumes!$A$2:$A$101,0))</f>
        <v>negotiation, recruitment, Excel, UPI/payments</v>
      </c>
      <c r="F128" s="24" t="str">
        <f>INDEX(Resumes!$I$2:$I$101,MATCH(A128,Resumes!$A$2:$A$101,0))</f>
        <v>Aisha Gupta, MBA Operations from a tier-3 institute. 3.4 years of experience, most recently at a fintech start-up. Key skills: negotiation, recruitment, Excel, UPI/payments. Achievement: improved vendor on-time delivery from 78% to 92%. Career gap: None.</v>
      </c>
      <c r="G128" s="24" t="str">
        <f t="shared" si="33"/>
        <v>improved vendor on-time delivery from 78% to 92%</v>
      </c>
      <c r="H128" s="24">
        <f>INDEX('Scoring Prompt'!$C$22:$C$23,MATCH(B128,'Scoring Prompt'!$A$22:$A$23,0))</f>
        <v>3</v>
      </c>
      <c r="I128" s="24">
        <f>INDEX('Scoring Prompt'!$D$22:$D$23,MATCH(B128,'Scoring Prompt'!$A$22:$A$23,0))</f>
        <v>6</v>
      </c>
      <c r="J128" s="24">
        <f>INDEX('Scoring Prompt'!$B$27:$C$34,MATCH(C128,'Scoring Prompt'!$A$27:$A$34,0),MATCH(B128,'Scoring Prompt'!$B$26:$C$26,0))</f>
        <v>15</v>
      </c>
      <c r="K128" s="24">
        <f>IF(AND(D128&gt;=H128,D128&lt;=I128),'Scoring Prompt'!$B$47,IF(D128&lt;H128,IF(H128-D128&lt;=1,'Scoring Prompt'!$B$48,IF(H128-D128&lt;=2,'Scoring Prompt'!$B$49,'Scoring Prompt'!$B$50)),IF(D128-I128&lt;=2,'Scoring Prompt'!$B$51,'Scoring Prompt'!$B$52)))</f>
        <v>25</v>
      </c>
      <c r="L128" s="24">
        <f>IF(B128="JD3",SUMPRODUCT(--ISNUMBER(SEARCH('Scoring Prompt'!$E$22:$I$22,E128))),SUMPRODUCT(--ISNUMBER(SEARCH('Scoring Prompt'!$E$23:$I$23,E128))))</f>
        <v>1</v>
      </c>
      <c r="M128" s="24">
        <f t="shared" si="34"/>
        <v>8</v>
      </c>
      <c r="N128" s="24">
        <f>INDEX('Scoring Prompt'!$B$38:$C$43,MATCH(G128,'Scoring Prompt'!$A$38:$A$43,0),MATCH(B128,'Scoring Prompt'!$B$37:$C$37,0))</f>
        <v>4</v>
      </c>
      <c r="O128" s="24">
        <f t="shared" si="35"/>
        <v>52</v>
      </c>
      <c r="P128" s="24">
        <f>'Scored Shortlist'!E128</f>
        <v>15</v>
      </c>
      <c r="Q128" s="24">
        <f>'Scored Shortlist'!F128</f>
        <v>25</v>
      </c>
      <c r="R128" s="24">
        <f>'Scored Shortlist'!G128</f>
        <v>8</v>
      </c>
      <c r="S128" s="24">
        <f>'Scored Shortlist'!H128</f>
        <v>4</v>
      </c>
      <c r="T128" s="24">
        <f>'Scored Shortlist'!I128</f>
        <v>52</v>
      </c>
      <c r="U128" s="24">
        <f>IF('Scored Shortlist'!M128="none",0,(LEN('Scored Shortlist'!M128)-LEN(SUBSTITUTE('Scored Shortlist'!M128,"&lt;-","")))/2)</f>
        <v>0</v>
      </c>
      <c r="V128" s="24">
        <f t="shared" si="36"/>
        <v>1</v>
      </c>
      <c r="W128" s="24">
        <f t="shared" si="37"/>
        <v>1</v>
      </c>
      <c r="X128" s="24">
        <f t="shared" si="38"/>
        <v>1</v>
      </c>
      <c r="Y128" s="24">
        <f t="shared" si="39"/>
        <v>0</v>
      </c>
      <c r="Z128" s="24">
        <f t="shared" si="40"/>
        <v>0</v>
      </c>
      <c r="AA128" s="24">
        <f t="shared" si="41"/>
        <v>1</v>
      </c>
      <c r="AB128" s="25" t="str">
        <f t="shared" si="42"/>
        <v>OK</v>
      </c>
      <c r="AC128" s="24" t="str">
        <f t="shared" si="43"/>
        <v>Not shortlisted</v>
      </c>
      <c r="AD128" s="24" t="str">
        <f>IF(ISNUMBER(SEARCH(" "&amp;LEFT('Scored Shortlist'!B128,FIND(" ",'Scored Shortlist'!B128)-1)&amp;" "," "&amp;'Scored Shortlist'!N128&amp;" ")),"YES","no")</f>
        <v>no</v>
      </c>
    </row>
    <row r="129" spans="1:30" x14ac:dyDescent="0.25">
      <c r="A129" s="24" t="str">
        <f>'Scored Shortlist'!A129</f>
        <v>CV064</v>
      </c>
      <c r="B129" s="24" t="str">
        <f>'Scored Shortlist'!C129</f>
        <v>JD5</v>
      </c>
      <c r="C129" s="24" t="str">
        <f>INDEX(Resumes!$D$2:$D$101,MATCH(A129,Resumes!$A$2:$A$101,0))</f>
        <v>MBA Operations</v>
      </c>
      <c r="D129" s="24">
        <f>INDEX(Resumes!$E$2:$E$101,MATCH(A129,Resumes!$A$2:$A$101,0))</f>
        <v>4.7</v>
      </c>
      <c r="E129" s="24" t="str">
        <f>INDEX(Resumes!$G$2:$G$101,MATCH(A129,Resumes!$A$2:$A$101,0))</f>
        <v>labour law, user research, employee relations, recruitment</v>
      </c>
      <c r="F129" s="24" t="str">
        <f>INDEX(Resumes!$I$2:$I$101,MATCH(A129,Resumes!$A$2:$A$101,0))</f>
        <v>Kavya Nair, MBA Operations from a tier-2 institute. 4.7 years of experience, most recently at a fintech start-up. Key skills: labour law, user research, employee relations, recruitment. Achievement: no major achievement listed. Career gap: None.</v>
      </c>
      <c r="G129" s="24" t="str">
        <f t="shared" si="33"/>
        <v>no major achievement listed</v>
      </c>
      <c r="H129" s="24">
        <f>INDEX('Scoring Prompt'!$C$22:$C$23,MATCH(B129,'Scoring Prompt'!$A$22:$A$23,0))</f>
        <v>3</v>
      </c>
      <c r="I129" s="24">
        <f>INDEX('Scoring Prompt'!$D$22:$D$23,MATCH(B129,'Scoring Prompt'!$A$22:$A$23,0))</f>
        <v>6</v>
      </c>
      <c r="J129" s="24">
        <f>INDEX('Scoring Prompt'!$B$27:$C$34,MATCH(C129,'Scoring Prompt'!$A$27:$A$34,0),MATCH(B129,'Scoring Prompt'!$B$26:$C$26,0))</f>
        <v>15</v>
      </c>
      <c r="K129" s="24">
        <f>IF(AND(D129&gt;=H129,D129&lt;=I129),'Scoring Prompt'!$B$47,IF(D129&lt;H129,IF(H129-D129&lt;=1,'Scoring Prompt'!$B$48,IF(H129-D129&lt;=2,'Scoring Prompt'!$B$49,'Scoring Prompt'!$B$50)),IF(D129-I129&lt;=2,'Scoring Prompt'!$B$51,'Scoring Prompt'!$B$52)))</f>
        <v>25</v>
      </c>
      <c r="L129" s="24">
        <f>IF(B129="JD3",SUMPRODUCT(--ISNUMBER(SEARCH('Scoring Prompt'!$E$22:$I$22,E129))),SUMPRODUCT(--ISNUMBER(SEARCH('Scoring Prompt'!$E$23:$I$23,E129))))</f>
        <v>1</v>
      </c>
      <c r="M129" s="24">
        <f t="shared" si="34"/>
        <v>8</v>
      </c>
      <c r="N129" s="24">
        <f>INDEX('Scoring Prompt'!$B$38:$C$43,MATCH(G129,'Scoring Prompt'!$A$38:$A$43,0),MATCH(B129,'Scoring Prompt'!$B$37:$C$37,0))</f>
        <v>0</v>
      </c>
      <c r="O129" s="24">
        <f t="shared" si="35"/>
        <v>48</v>
      </c>
      <c r="P129" s="24">
        <f>'Scored Shortlist'!E129</f>
        <v>15</v>
      </c>
      <c r="Q129" s="24">
        <f>'Scored Shortlist'!F129</f>
        <v>25</v>
      </c>
      <c r="R129" s="24">
        <f>'Scored Shortlist'!G129</f>
        <v>12</v>
      </c>
      <c r="S129" s="24">
        <f>'Scored Shortlist'!H129</f>
        <v>0</v>
      </c>
      <c r="T129" s="24">
        <f>'Scored Shortlist'!I129</f>
        <v>52</v>
      </c>
      <c r="U129" s="24">
        <f>IF('Scored Shortlist'!M129="none",0,(LEN('Scored Shortlist'!M129)-LEN(SUBSTITUTE('Scored Shortlist'!M129,"&lt;-","")))/2)</f>
        <v>1</v>
      </c>
      <c r="V129" s="24">
        <f t="shared" si="36"/>
        <v>1</v>
      </c>
      <c r="W129" s="24">
        <f t="shared" si="37"/>
        <v>1</v>
      </c>
      <c r="X129" s="24">
        <f t="shared" si="38"/>
        <v>1</v>
      </c>
      <c r="Y129" s="24">
        <f t="shared" si="39"/>
        <v>4</v>
      </c>
      <c r="Z129" s="24">
        <f t="shared" si="40"/>
        <v>4</v>
      </c>
      <c r="AA129" s="24">
        <f t="shared" si="41"/>
        <v>1</v>
      </c>
      <c r="AB129" s="25" t="str">
        <f t="shared" si="42"/>
        <v>OK</v>
      </c>
      <c r="AC129" s="24" t="str">
        <f t="shared" si="43"/>
        <v>Not shortlisted</v>
      </c>
      <c r="AD129" s="24" t="str">
        <f>IF(ISNUMBER(SEARCH(" "&amp;LEFT('Scored Shortlist'!B129,FIND(" ",'Scored Shortlist'!B129)-1)&amp;" "," "&amp;'Scored Shortlist'!N129&amp;" ")),"YES","no")</f>
        <v>no</v>
      </c>
    </row>
    <row r="130" spans="1:30" x14ac:dyDescent="0.25">
      <c r="A130" s="24" t="str">
        <f>'Scored Shortlist'!A130</f>
        <v>CV090</v>
      </c>
      <c r="B130" s="24" t="str">
        <f>'Scored Shortlist'!C130</f>
        <v>JD5</v>
      </c>
      <c r="C130" s="24" t="str">
        <f>INDEX(Resumes!$D$2:$D$101,MATCH(A130,Resumes!$A$2:$A$101,0))</f>
        <v>MBA Marketing</v>
      </c>
      <c r="D130" s="24">
        <f>INDEX(Resumes!$E$2:$E$101,MATCH(A130,Resumes!$A$2:$A$101,0))</f>
        <v>5.9</v>
      </c>
      <c r="E130" s="24" t="str">
        <f>INDEX(Resumes!$G$2:$G$101,MATCH(A130,Resumes!$A$2:$A$101,0))</f>
        <v>Excel, Tableau, labour law, product roadmap</v>
      </c>
      <c r="F130" s="24" t="str">
        <f>INDEX(Resumes!$I$2:$I$101,MATCH(A130,Resumes!$A$2:$A$101,0))</f>
        <v>Nikhil Mehta, MBA Marketing from a tier-3 institute. 5.9 years of experience, most recently at an IT services firm. Key skills: Excel, Tableau, labour law, product roadmap. Achievement: improved vendor on-time delivery from 78% to 92%. Career gap: 6-month gap (exam preparation).</v>
      </c>
      <c r="G130" s="24" t="str">
        <f t="shared" si="33"/>
        <v>improved vendor on-time delivery from 78% to 92%</v>
      </c>
      <c r="H130" s="24">
        <f>INDEX('Scoring Prompt'!$C$22:$C$23,MATCH(B130,'Scoring Prompt'!$A$22:$A$23,0))</f>
        <v>3</v>
      </c>
      <c r="I130" s="24">
        <f>INDEX('Scoring Prompt'!$D$22:$D$23,MATCH(B130,'Scoring Prompt'!$A$22:$A$23,0))</f>
        <v>6</v>
      </c>
      <c r="J130" s="24">
        <f>INDEX('Scoring Prompt'!$B$27:$C$34,MATCH(C130,'Scoring Prompt'!$A$27:$A$34,0),MATCH(B130,'Scoring Prompt'!$B$26:$C$26,0))</f>
        <v>15</v>
      </c>
      <c r="K130" s="24">
        <f>IF(AND(D130&gt;=H130,D130&lt;=I130),'Scoring Prompt'!$B$47,IF(D130&lt;H130,IF(H130-D130&lt;=1,'Scoring Prompt'!$B$48,IF(H130-D130&lt;=2,'Scoring Prompt'!$B$49,'Scoring Prompt'!$B$50)),IF(D130-I130&lt;=2,'Scoring Prompt'!$B$51,'Scoring Prompt'!$B$52)))</f>
        <v>25</v>
      </c>
      <c r="L130" s="24">
        <f>IF(B130="JD3",SUMPRODUCT(--ISNUMBER(SEARCH('Scoring Prompt'!$E$22:$I$22,E130))),SUMPRODUCT(--ISNUMBER(SEARCH('Scoring Prompt'!$E$23:$I$23,E130))))</f>
        <v>1</v>
      </c>
      <c r="M130" s="24">
        <f t="shared" si="34"/>
        <v>8</v>
      </c>
      <c r="N130" s="24">
        <f>INDEX('Scoring Prompt'!$B$38:$C$43,MATCH(G130,'Scoring Prompt'!$A$38:$A$43,0),MATCH(B130,'Scoring Prompt'!$B$37:$C$37,0))</f>
        <v>4</v>
      </c>
      <c r="O130" s="24">
        <f t="shared" si="35"/>
        <v>52</v>
      </c>
      <c r="P130" s="24">
        <f>'Scored Shortlist'!E130</f>
        <v>15</v>
      </c>
      <c r="Q130" s="24">
        <f>'Scored Shortlist'!F130</f>
        <v>25</v>
      </c>
      <c r="R130" s="24">
        <f>'Scored Shortlist'!G130</f>
        <v>8</v>
      </c>
      <c r="S130" s="24">
        <f>'Scored Shortlist'!H130</f>
        <v>4</v>
      </c>
      <c r="T130" s="24">
        <f>'Scored Shortlist'!I130</f>
        <v>52</v>
      </c>
      <c r="U130" s="24">
        <f>IF('Scored Shortlist'!M130="none",0,(LEN('Scored Shortlist'!M130)-LEN(SUBSTITUTE('Scored Shortlist'!M130,"&lt;-","")))/2)</f>
        <v>0</v>
      </c>
      <c r="V130" s="24">
        <f t="shared" si="36"/>
        <v>1</v>
      </c>
      <c r="W130" s="24">
        <f t="shared" si="37"/>
        <v>1</v>
      </c>
      <c r="X130" s="24">
        <f t="shared" si="38"/>
        <v>1</v>
      </c>
      <c r="Y130" s="24">
        <f t="shared" si="39"/>
        <v>0</v>
      </c>
      <c r="Z130" s="24">
        <f t="shared" si="40"/>
        <v>0</v>
      </c>
      <c r="AA130" s="24">
        <f t="shared" si="41"/>
        <v>1</v>
      </c>
      <c r="AB130" s="25" t="str">
        <f t="shared" si="42"/>
        <v>OK</v>
      </c>
      <c r="AC130" s="24" t="str">
        <f t="shared" si="43"/>
        <v>Not shortlisted</v>
      </c>
      <c r="AD130" s="24" t="str">
        <f>IF(ISNUMBER(SEARCH(" "&amp;LEFT('Scored Shortlist'!B130,FIND(" ",'Scored Shortlist'!B130)-1)&amp;" "," "&amp;'Scored Shortlist'!N130&amp;" ")),"YES","no")</f>
        <v>no</v>
      </c>
    </row>
    <row r="131" spans="1:30" x14ac:dyDescent="0.25">
      <c r="A131" s="24" t="str">
        <f>'Scored Shortlist'!A131</f>
        <v>CV024</v>
      </c>
      <c r="B131" s="24" t="str">
        <f>'Scored Shortlist'!C131</f>
        <v>JD5</v>
      </c>
      <c r="C131" s="24" t="str">
        <f>INDEX(Resumes!$D$2:$D$101,MATCH(A131,Resumes!$A$2:$A$101,0))</f>
        <v>BBA</v>
      </c>
      <c r="D131" s="24">
        <f>INDEX(Resumes!$E$2:$E$101,MATCH(A131,Resumes!$A$2:$A$101,0))</f>
        <v>4.4000000000000004</v>
      </c>
      <c r="E131" s="24" t="str">
        <f>INDEX(Resumes!$G$2:$G$101,MATCH(A131,Resumes!$A$2:$A$101,0))</f>
        <v>SQL, valuation, product roadmap, vendor management, Tableau</v>
      </c>
      <c r="F131" s="24" t="str">
        <f>INDEX(Resumes!$I$2:$I$101,MATCH(A131,Resumes!$A$2:$A$101,0))</f>
        <v>Anjali Mehta, BBA from a tier-2 institute. 4.4 years of experience, most recently at a manufacturing company. Key skills: SQL, valuation, product roadmap, vendor management, Tableau. Achievement: led a 5-member campus marketing team. Career gap: 1-year career break (family).</v>
      </c>
      <c r="G131" s="24" t="str">
        <f t="shared" si="33"/>
        <v>led a 5-member campus marketing team</v>
      </c>
      <c r="H131" s="24">
        <f>INDEX('Scoring Prompt'!$C$22:$C$23,MATCH(B131,'Scoring Prompt'!$A$22:$A$23,0))</f>
        <v>3</v>
      </c>
      <c r="I131" s="24">
        <f>INDEX('Scoring Prompt'!$D$22:$D$23,MATCH(B131,'Scoring Prompt'!$A$22:$A$23,0))</f>
        <v>6</v>
      </c>
      <c r="J131" s="24">
        <f>INDEX('Scoring Prompt'!$B$27:$C$34,MATCH(C131,'Scoring Prompt'!$A$27:$A$34,0),MATCH(B131,'Scoring Prompt'!$B$26:$C$26,0))</f>
        <v>5</v>
      </c>
      <c r="K131" s="24">
        <f>IF(AND(D131&gt;=H131,D131&lt;=I131),'Scoring Prompt'!$B$47,IF(D131&lt;H131,IF(H131-D131&lt;=1,'Scoring Prompt'!$B$48,IF(H131-D131&lt;=2,'Scoring Prompt'!$B$49,'Scoring Prompt'!$B$50)),IF(D131-I131&lt;=2,'Scoring Prompt'!$B$51,'Scoring Prompt'!$B$52)))</f>
        <v>25</v>
      </c>
      <c r="L131" s="24">
        <f>IF(B131="JD3",SUMPRODUCT(--ISNUMBER(SEARCH('Scoring Prompt'!$E$22:$I$22,E131))),SUMPRODUCT(--ISNUMBER(SEARCH('Scoring Prompt'!$E$23:$I$23,E131))))</f>
        <v>2</v>
      </c>
      <c r="M131" s="24">
        <f t="shared" si="34"/>
        <v>16</v>
      </c>
      <c r="N131" s="24">
        <f>INDEX('Scoring Prompt'!$B$38:$C$43,MATCH(G131,'Scoring Prompt'!$A$38:$A$43,0),MATCH(B131,'Scoring Prompt'!$B$37:$C$37,0))</f>
        <v>5</v>
      </c>
      <c r="O131" s="24">
        <f t="shared" si="35"/>
        <v>51</v>
      </c>
      <c r="P131" s="24">
        <f>'Scored Shortlist'!E131</f>
        <v>5</v>
      </c>
      <c r="Q131" s="24">
        <f>'Scored Shortlist'!F131</f>
        <v>25</v>
      </c>
      <c r="R131" s="24">
        <f>'Scored Shortlist'!G131</f>
        <v>16</v>
      </c>
      <c r="S131" s="24">
        <f>'Scored Shortlist'!H131</f>
        <v>5</v>
      </c>
      <c r="T131" s="24">
        <f>'Scored Shortlist'!I131</f>
        <v>51</v>
      </c>
      <c r="U131" s="24">
        <f>IF('Scored Shortlist'!M131="none",0,(LEN('Scored Shortlist'!M131)-LEN(SUBSTITUTE('Scored Shortlist'!M131,"&lt;-","")))/2)</f>
        <v>0</v>
      </c>
      <c r="V131" s="24">
        <f t="shared" si="36"/>
        <v>1</v>
      </c>
      <c r="W131" s="24">
        <f t="shared" si="37"/>
        <v>1</v>
      </c>
      <c r="X131" s="24">
        <f t="shared" si="38"/>
        <v>1</v>
      </c>
      <c r="Y131" s="24">
        <f t="shared" si="39"/>
        <v>0</v>
      </c>
      <c r="Z131" s="24">
        <f t="shared" si="40"/>
        <v>0</v>
      </c>
      <c r="AA131" s="24">
        <f t="shared" si="41"/>
        <v>1</v>
      </c>
      <c r="AB131" s="25" t="str">
        <f t="shared" si="42"/>
        <v>OK</v>
      </c>
      <c r="AC131" s="24" t="str">
        <f t="shared" si="43"/>
        <v>Not shortlisted</v>
      </c>
      <c r="AD131" s="24" t="str">
        <f>IF(ISNUMBER(SEARCH(" "&amp;LEFT('Scored Shortlist'!B131,FIND(" ",'Scored Shortlist'!B131)-1)&amp;" "," "&amp;'Scored Shortlist'!N131&amp;" ")),"YES","no")</f>
        <v>no</v>
      </c>
    </row>
    <row r="132" spans="1:30" x14ac:dyDescent="0.25">
      <c r="A132" s="24" t="str">
        <f>'Scored Shortlist'!A132</f>
        <v>CV046</v>
      </c>
      <c r="B132" s="24" t="str">
        <f>'Scored Shortlist'!C132</f>
        <v>JD5</v>
      </c>
      <c r="C132" s="24" t="str">
        <f>INDEX(Resumes!$D$2:$D$101,MATCH(A132,Resumes!$A$2:$A$101,0))</f>
        <v>MBA HR</v>
      </c>
      <c r="D132" s="24">
        <f>INDEX(Resumes!$E$2:$E$101,MATCH(A132,Resumes!$A$2:$A$101,0))</f>
        <v>4.5</v>
      </c>
      <c r="E132" s="24" t="str">
        <f>INDEX(Resumes!$G$2:$G$101,MATCH(A132,Resumes!$A$2:$A$101,0))</f>
        <v>Power BI, SAP MM, public speaking, HR analytics, campaign management, Tableau, product roadmap</v>
      </c>
      <c r="F132" s="24" t="str">
        <f>INDEX(Resumes!$I$2:$I$101,MATCH(A132,Resumes!$A$2:$A$101,0))</f>
        <v>Simran Fernandes, MBA HR from a tier-3 institute. 4.5 years of experience, most recently at a consulting firm. Key skills: Power BI, SAP MM, public speaking, HR analytics, campaign management, Tableau, product roadmap. Achievement: handled 120 hires in one year. Career gap: None.</v>
      </c>
      <c r="G132" s="24" t="str">
        <f t="shared" ref="G132:G163" si="44">MID(F132,FIND("Achievement: ",F132)+13,FIND(". Career gap",F132)-FIND("Achievement: ",F132)-13)</f>
        <v>handled 120 hires in one year</v>
      </c>
      <c r="H132" s="24">
        <f>INDEX('Scoring Prompt'!$C$22:$C$23,MATCH(B132,'Scoring Prompt'!$A$22:$A$23,0))</f>
        <v>3</v>
      </c>
      <c r="I132" s="24">
        <f>INDEX('Scoring Prompt'!$D$22:$D$23,MATCH(B132,'Scoring Prompt'!$A$22:$A$23,0))</f>
        <v>6</v>
      </c>
      <c r="J132" s="24">
        <f>INDEX('Scoring Prompt'!$B$27:$C$34,MATCH(C132,'Scoring Prompt'!$A$27:$A$34,0),MATCH(B132,'Scoring Prompt'!$B$26:$C$26,0))</f>
        <v>15</v>
      </c>
      <c r="K132" s="24">
        <f>IF(AND(D132&gt;=H132,D132&lt;=I132),'Scoring Prompt'!$B$47,IF(D132&lt;H132,IF(H132-D132&lt;=1,'Scoring Prompt'!$B$48,IF(H132-D132&lt;=2,'Scoring Prompt'!$B$49,'Scoring Prompt'!$B$50)),IF(D132-I132&lt;=2,'Scoring Prompt'!$B$51,'Scoring Prompt'!$B$52)))</f>
        <v>25</v>
      </c>
      <c r="L132" s="24">
        <f>IF(B132="JD3",SUMPRODUCT(--ISNUMBER(SEARCH('Scoring Prompt'!$E$22:$I$22,E132))),SUMPRODUCT(--ISNUMBER(SEARCH('Scoring Prompt'!$E$23:$I$23,E132))))</f>
        <v>1</v>
      </c>
      <c r="M132" s="24">
        <f t="shared" ref="M132:M163" si="45">8*L132</f>
        <v>8</v>
      </c>
      <c r="N132" s="24">
        <f>INDEX('Scoring Prompt'!$B$38:$C$43,MATCH(G132,'Scoring Prompt'!$A$38:$A$43,0),MATCH(B132,'Scoring Prompt'!$B$37:$C$37,0))</f>
        <v>3</v>
      </c>
      <c r="O132" s="24">
        <f t="shared" ref="O132:O163" si="46">J132+K132+M132+N132</f>
        <v>51</v>
      </c>
      <c r="P132" s="24">
        <f>'Scored Shortlist'!E132</f>
        <v>15</v>
      </c>
      <c r="Q132" s="24">
        <f>'Scored Shortlist'!F132</f>
        <v>25</v>
      </c>
      <c r="R132" s="24">
        <f>'Scored Shortlist'!G132</f>
        <v>8</v>
      </c>
      <c r="S132" s="24">
        <f>'Scored Shortlist'!H132</f>
        <v>3</v>
      </c>
      <c r="T132" s="24">
        <f>'Scored Shortlist'!I132</f>
        <v>51</v>
      </c>
      <c r="U132" s="24">
        <f>IF('Scored Shortlist'!M132="none",0,(LEN('Scored Shortlist'!M132)-LEN(SUBSTITUTE('Scored Shortlist'!M132,"&lt;-","")))/2)</f>
        <v>0</v>
      </c>
      <c r="V132" s="24">
        <f t="shared" ref="V132:V163" si="47">IF(P132=J132,1,0)</f>
        <v>1</v>
      </c>
      <c r="W132" s="24">
        <f t="shared" ref="W132:W163" si="48">IF(Q132=K132,1,0)</f>
        <v>1</v>
      </c>
      <c r="X132" s="24">
        <f t="shared" ref="X132:X163" si="49">IF(S132=N132,1,0)</f>
        <v>1</v>
      </c>
      <c r="Y132" s="24">
        <f t="shared" ref="Y132:Y163" si="50">R132-M132</f>
        <v>0</v>
      </c>
      <c r="Z132" s="24">
        <f t="shared" ref="Z132:Z163" si="51">4*U132</f>
        <v>0</v>
      </c>
      <c r="AA132" s="24">
        <f t="shared" ref="AA132:AA163" si="52">IF(Y132=Z132,1,0)</f>
        <v>1</v>
      </c>
      <c r="AB132" s="25" t="str">
        <f t="shared" ref="AB132:AB163" si="53">IF(V132+W132+X132+AA132=4,"OK","CHECK")</f>
        <v>OK</v>
      </c>
      <c r="AC132" s="24" t="str">
        <f t="shared" ref="AC132:AC163" si="54">IF(AND(O132&gt;=SL_CUT,M132&gt;=SL_SKILL),"Shortlist",IF(AND(O132&gt;=RV_CUT,M132&gt;=RV_SKILL),"Review","Not shortlisted"))</f>
        <v>Not shortlisted</v>
      </c>
      <c r="AD132" s="24" t="str">
        <f>IF(ISNUMBER(SEARCH(" "&amp;LEFT('Scored Shortlist'!B132,FIND(" ",'Scored Shortlist'!B132)-1)&amp;" "," "&amp;'Scored Shortlist'!N132&amp;" ")),"YES","no")</f>
        <v>no</v>
      </c>
    </row>
    <row r="133" spans="1:30" x14ac:dyDescent="0.25">
      <c r="A133" s="24" t="str">
        <f>'Scored Shortlist'!A133</f>
        <v>CV004</v>
      </c>
      <c r="B133" s="24" t="str">
        <f>'Scored Shortlist'!C133</f>
        <v>JD5</v>
      </c>
      <c r="C133" s="24" t="str">
        <f>INDEX(Resumes!$D$2:$D$101,MATCH(A133,Resumes!$A$2:$A$101,0))</f>
        <v>B.Tech + MBA</v>
      </c>
      <c r="D133" s="24">
        <f>INDEX(Resumes!$E$2:$E$101,MATCH(A133,Resumes!$A$2:$A$101,0))</f>
        <v>1.9</v>
      </c>
      <c r="E133" s="24" t="str">
        <f>INDEX(Resumes!$G$2:$G$101,MATCH(A133,Resumes!$A$2:$A$101,0))</f>
        <v>stakeholder management, agile, content writing, inventory planning, Excel</v>
      </c>
      <c r="F133" s="24" t="str">
        <f>INDEX(Resumes!$I$2:$I$101,MATCH(A133,Resumes!$A$2:$A$101,0))</f>
        <v>Meera Menon, B.Tech + MBA from a tier-2 institute. 1.9 years of experience, most recently at a fintech start-up. Key skills: stakeholder management, agile, content writing, inventory planning, Excel. Achievement: led a 5-member campus marketing team. Career gap: None.</v>
      </c>
      <c r="G133" s="24" t="str">
        <f t="shared" si="44"/>
        <v>led a 5-member campus marketing team</v>
      </c>
      <c r="H133" s="24">
        <f>INDEX('Scoring Prompt'!$C$22:$C$23,MATCH(B133,'Scoring Prompt'!$A$22:$A$23,0))</f>
        <v>3</v>
      </c>
      <c r="I133" s="24">
        <f>INDEX('Scoring Prompt'!$D$22:$D$23,MATCH(B133,'Scoring Prompt'!$A$22:$A$23,0))</f>
        <v>6</v>
      </c>
      <c r="J133" s="24">
        <f>INDEX('Scoring Prompt'!$B$27:$C$34,MATCH(C133,'Scoring Prompt'!$A$27:$A$34,0),MATCH(B133,'Scoring Prompt'!$B$26:$C$26,0))</f>
        <v>25</v>
      </c>
      <c r="K133" s="24">
        <f>IF(AND(D133&gt;=H133,D133&lt;=I133),'Scoring Prompt'!$B$47,IF(D133&lt;H133,IF(H133-D133&lt;=1,'Scoring Prompt'!$B$48,IF(H133-D133&lt;=2,'Scoring Prompt'!$B$49,'Scoring Prompt'!$B$50)),IF(D133-I133&lt;=2,'Scoring Prompt'!$B$51,'Scoring Prompt'!$B$52)))</f>
        <v>8</v>
      </c>
      <c r="L133" s="24">
        <f>IF(B133="JD3",SUMPRODUCT(--ISNUMBER(SEARCH('Scoring Prompt'!$E$22:$I$22,E133))),SUMPRODUCT(--ISNUMBER(SEARCH('Scoring Prompt'!$E$23:$I$23,E133))))</f>
        <v>1</v>
      </c>
      <c r="M133" s="24">
        <f t="shared" si="45"/>
        <v>8</v>
      </c>
      <c r="N133" s="24">
        <f>INDEX('Scoring Prompt'!$B$38:$C$43,MATCH(G133,'Scoring Prompt'!$A$38:$A$43,0),MATCH(B133,'Scoring Prompt'!$B$37:$C$37,0))</f>
        <v>5</v>
      </c>
      <c r="O133" s="24">
        <f t="shared" si="46"/>
        <v>46</v>
      </c>
      <c r="P133" s="24">
        <f>'Scored Shortlist'!E133</f>
        <v>25</v>
      </c>
      <c r="Q133" s="24">
        <f>'Scored Shortlist'!F133</f>
        <v>8</v>
      </c>
      <c r="R133" s="24">
        <f>'Scored Shortlist'!G133</f>
        <v>12</v>
      </c>
      <c r="S133" s="24">
        <f>'Scored Shortlist'!H133</f>
        <v>5</v>
      </c>
      <c r="T133" s="24">
        <f>'Scored Shortlist'!I133</f>
        <v>50</v>
      </c>
      <c r="U133" s="24">
        <f>IF('Scored Shortlist'!M133="none",0,(LEN('Scored Shortlist'!M133)-LEN(SUBSTITUTE('Scored Shortlist'!M133,"&lt;-","")))/2)</f>
        <v>1</v>
      </c>
      <c r="V133" s="24">
        <f t="shared" si="47"/>
        <v>1</v>
      </c>
      <c r="W133" s="24">
        <f t="shared" si="48"/>
        <v>1</v>
      </c>
      <c r="X133" s="24">
        <f t="shared" si="49"/>
        <v>1</v>
      </c>
      <c r="Y133" s="24">
        <f t="shared" si="50"/>
        <v>4</v>
      </c>
      <c r="Z133" s="24">
        <f t="shared" si="51"/>
        <v>4</v>
      </c>
      <c r="AA133" s="24">
        <f t="shared" si="52"/>
        <v>1</v>
      </c>
      <c r="AB133" s="25" t="str">
        <f t="shared" si="53"/>
        <v>OK</v>
      </c>
      <c r="AC133" s="24" t="str">
        <f t="shared" si="54"/>
        <v>Not shortlisted</v>
      </c>
      <c r="AD133" s="24" t="str">
        <f>IF(ISNUMBER(SEARCH(" "&amp;LEFT('Scored Shortlist'!B133,FIND(" ",'Scored Shortlist'!B133)-1)&amp;" "," "&amp;'Scored Shortlist'!N133&amp;" ")),"YES","no")</f>
        <v>no</v>
      </c>
    </row>
    <row r="134" spans="1:30" x14ac:dyDescent="0.25">
      <c r="A134" s="24" t="str">
        <f>'Scored Shortlist'!A134</f>
        <v>CV035</v>
      </c>
      <c r="B134" s="24" t="str">
        <f>'Scored Shortlist'!C134</f>
        <v>JD5</v>
      </c>
      <c r="C134" s="24" t="str">
        <f>INDEX(Resumes!$D$2:$D$101,MATCH(A134,Resumes!$A$2:$A$101,0))</f>
        <v>MBA HR</v>
      </c>
      <c r="D134" s="24">
        <f>INDEX(Resumes!$E$2:$E$101,MATCH(A134,Resumes!$A$2:$A$101,0))</f>
        <v>1.1000000000000001</v>
      </c>
      <c r="E134" s="24" t="str">
        <f>INDEX(Resumes!$G$2:$G$101,MATCH(A134,Resumes!$A$2:$A$101,0))</f>
        <v>Python, Google Analytics, Tableau, stakeholder management, SQL, valuation, product roadmap, A/B testing</v>
      </c>
      <c r="F134" s="24" t="str">
        <f>INDEX(Resumes!$I$2:$I$101,MATCH(A134,Resumes!$A$2:$A$101,0))</f>
        <v>Deepak D'Souza, MBA HR from a tier-2 institute. 1.1 years of experience, most recently at a fintech start-up. Key skills: Python, Google Analytics, Tableau, stakeholder management, SQL, valuation, product roadmap, A/B testing. Achievement: handled 120 hires in one year. Career gap: None.</v>
      </c>
      <c r="G134" s="24" t="str">
        <f t="shared" si="44"/>
        <v>handled 120 hires in one year</v>
      </c>
      <c r="H134" s="24">
        <f>INDEX('Scoring Prompt'!$C$22:$C$23,MATCH(B134,'Scoring Prompt'!$A$22:$A$23,0))</f>
        <v>3</v>
      </c>
      <c r="I134" s="24">
        <f>INDEX('Scoring Prompt'!$D$22:$D$23,MATCH(B134,'Scoring Prompt'!$A$22:$A$23,0))</f>
        <v>6</v>
      </c>
      <c r="J134" s="24">
        <f>INDEX('Scoring Prompt'!$B$27:$C$34,MATCH(C134,'Scoring Prompt'!$A$27:$A$34,0),MATCH(B134,'Scoring Prompt'!$B$26:$C$26,0))</f>
        <v>15</v>
      </c>
      <c r="K134" s="24">
        <f>IF(AND(D134&gt;=H134,D134&lt;=I134),'Scoring Prompt'!$B$47,IF(D134&lt;H134,IF(H134-D134&lt;=1,'Scoring Prompt'!$B$48,IF(H134-D134&lt;=2,'Scoring Prompt'!$B$49,'Scoring Prompt'!$B$50)),IF(D134-I134&lt;=2,'Scoring Prompt'!$B$51,'Scoring Prompt'!$B$52)))</f>
        <v>8</v>
      </c>
      <c r="L134" s="24">
        <f>IF(B134="JD3",SUMPRODUCT(--ISNUMBER(SEARCH('Scoring Prompt'!$E$22:$I$22,E134))),SUMPRODUCT(--ISNUMBER(SEARCH('Scoring Prompt'!$E$23:$I$23,E134))))</f>
        <v>2</v>
      </c>
      <c r="M134" s="24">
        <f t="shared" si="45"/>
        <v>16</v>
      </c>
      <c r="N134" s="24">
        <f>INDEX('Scoring Prompt'!$B$38:$C$43,MATCH(G134,'Scoring Prompt'!$A$38:$A$43,0),MATCH(B134,'Scoring Prompt'!$B$37:$C$37,0))</f>
        <v>3</v>
      </c>
      <c r="O134" s="24">
        <f t="shared" si="46"/>
        <v>42</v>
      </c>
      <c r="P134" s="24">
        <f>'Scored Shortlist'!E134</f>
        <v>15</v>
      </c>
      <c r="Q134" s="24">
        <f>'Scored Shortlist'!F134</f>
        <v>8</v>
      </c>
      <c r="R134" s="24">
        <f>'Scored Shortlist'!G134</f>
        <v>24</v>
      </c>
      <c r="S134" s="24">
        <f>'Scored Shortlist'!H134</f>
        <v>3</v>
      </c>
      <c r="T134" s="24">
        <f>'Scored Shortlist'!I134</f>
        <v>50</v>
      </c>
      <c r="U134" s="24">
        <f>IF('Scored Shortlist'!M134="none",0,(LEN('Scored Shortlist'!M134)-LEN(SUBSTITUTE('Scored Shortlist'!M134,"&lt;-","")))/2)</f>
        <v>2</v>
      </c>
      <c r="V134" s="24">
        <f t="shared" si="47"/>
        <v>1</v>
      </c>
      <c r="W134" s="24">
        <f t="shared" si="48"/>
        <v>1</v>
      </c>
      <c r="X134" s="24">
        <f t="shared" si="49"/>
        <v>1</v>
      </c>
      <c r="Y134" s="24">
        <f t="shared" si="50"/>
        <v>8</v>
      </c>
      <c r="Z134" s="24">
        <f t="shared" si="51"/>
        <v>8</v>
      </c>
      <c r="AA134" s="24">
        <f t="shared" si="52"/>
        <v>1</v>
      </c>
      <c r="AB134" s="25" t="str">
        <f t="shared" si="53"/>
        <v>OK</v>
      </c>
      <c r="AC134" s="24" t="str">
        <f t="shared" si="54"/>
        <v>Not shortlisted</v>
      </c>
      <c r="AD134" s="24" t="str">
        <f>IF(ISNUMBER(SEARCH(" "&amp;LEFT('Scored Shortlist'!B134,FIND(" ",'Scored Shortlist'!B134)-1)&amp;" "," "&amp;'Scored Shortlist'!N134&amp;" ")),"YES","no")</f>
        <v>no</v>
      </c>
    </row>
    <row r="135" spans="1:30" x14ac:dyDescent="0.25">
      <c r="A135" s="24" t="str">
        <f>'Scored Shortlist'!A135</f>
        <v>CV054</v>
      </c>
      <c r="B135" s="24" t="str">
        <f>'Scored Shortlist'!C135</f>
        <v>JD5</v>
      </c>
      <c r="C135" s="24" t="str">
        <f>INDEX(Resumes!$D$2:$D$101,MATCH(A135,Resumes!$A$2:$A$101,0))</f>
        <v>B.Tech + MBA</v>
      </c>
      <c r="D135" s="24">
        <f>INDEX(Resumes!$E$2:$E$101,MATCH(A135,Resumes!$A$2:$A$101,0))</f>
        <v>8.6999999999999993</v>
      </c>
      <c r="E135" s="24" t="str">
        <f>INDEX(Resumes!$G$2:$G$101,MATCH(A135,Resumes!$A$2:$A$101,0))</f>
        <v>financial modelling, inventory planning, product roadmap, negotiation, Excel, SEO</v>
      </c>
      <c r="F135" s="24" t="str">
        <f>INDEX(Resumes!$I$2:$I$101,MATCH(A135,Resumes!$A$2:$A$101,0))</f>
        <v>Sneha Das, B.Tech + MBA from a tier-1 institute. 8.7 years of experience, most recently at a manufacturing company. Key skills: financial modelling, inventory planning, product roadmap, negotiation, Excel, SEO. Achievement: led a 5-member campus marketing team. Career gap: None.</v>
      </c>
      <c r="G135" s="24" t="str">
        <f t="shared" si="44"/>
        <v>led a 5-member campus marketing team</v>
      </c>
      <c r="H135" s="24">
        <f>INDEX('Scoring Prompt'!$C$22:$C$23,MATCH(B135,'Scoring Prompt'!$A$22:$A$23,0))</f>
        <v>3</v>
      </c>
      <c r="I135" s="24">
        <f>INDEX('Scoring Prompt'!$D$22:$D$23,MATCH(B135,'Scoring Prompt'!$A$22:$A$23,0))</f>
        <v>6</v>
      </c>
      <c r="J135" s="24">
        <f>INDEX('Scoring Prompt'!$B$27:$C$34,MATCH(C135,'Scoring Prompt'!$A$27:$A$34,0),MATCH(B135,'Scoring Prompt'!$B$26:$C$26,0))</f>
        <v>25</v>
      </c>
      <c r="K135" s="24">
        <f>IF(AND(D135&gt;=H135,D135&lt;=I135),'Scoring Prompt'!$B$47,IF(D135&lt;H135,IF(H135-D135&lt;=1,'Scoring Prompt'!$B$48,IF(H135-D135&lt;=2,'Scoring Prompt'!$B$49,'Scoring Prompt'!$B$50)),IF(D135-I135&lt;=2,'Scoring Prompt'!$B$51,'Scoring Prompt'!$B$52)))</f>
        <v>12</v>
      </c>
      <c r="L135" s="24">
        <f>IF(B135="JD3",SUMPRODUCT(--ISNUMBER(SEARCH('Scoring Prompt'!$E$22:$I$22,E135))),SUMPRODUCT(--ISNUMBER(SEARCH('Scoring Prompt'!$E$23:$I$23,E135))))</f>
        <v>1</v>
      </c>
      <c r="M135" s="24">
        <f t="shared" si="45"/>
        <v>8</v>
      </c>
      <c r="N135" s="24">
        <f>INDEX('Scoring Prompt'!$B$38:$C$43,MATCH(G135,'Scoring Prompt'!$A$38:$A$43,0),MATCH(B135,'Scoring Prompt'!$B$37:$C$37,0))</f>
        <v>5</v>
      </c>
      <c r="O135" s="24">
        <f t="shared" si="46"/>
        <v>50</v>
      </c>
      <c r="P135" s="24">
        <f>'Scored Shortlist'!E135</f>
        <v>25</v>
      </c>
      <c r="Q135" s="24">
        <f>'Scored Shortlist'!F135</f>
        <v>12</v>
      </c>
      <c r="R135" s="24">
        <f>'Scored Shortlist'!G135</f>
        <v>8</v>
      </c>
      <c r="S135" s="24">
        <f>'Scored Shortlist'!H135</f>
        <v>5</v>
      </c>
      <c r="T135" s="24">
        <f>'Scored Shortlist'!I135</f>
        <v>50</v>
      </c>
      <c r="U135" s="24">
        <f>IF('Scored Shortlist'!M135="none",0,(LEN('Scored Shortlist'!M135)-LEN(SUBSTITUTE('Scored Shortlist'!M135,"&lt;-","")))/2)</f>
        <v>0</v>
      </c>
      <c r="V135" s="24">
        <f t="shared" si="47"/>
        <v>1</v>
      </c>
      <c r="W135" s="24">
        <f t="shared" si="48"/>
        <v>1</v>
      </c>
      <c r="X135" s="24">
        <f t="shared" si="49"/>
        <v>1</v>
      </c>
      <c r="Y135" s="24">
        <f t="shared" si="50"/>
        <v>0</v>
      </c>
      <c r="Z135" s="24">
        <f t="shared" si="51"/>
        <v>0</v>
      </c>
      <c r="AA135" s="24">
        <f t="shared" si="52"/>
        <v>1</v>
      </c>
      <c r="AB135" s="25" t="str">
        <f t="shared" si="53"/>
        <v>OK</v>
      </c>
      <c r="AC135" s="24" t="str">
        <f t="shared" si="54"/>
        <v>Not shortlisted</v>
      </c>
      <c r="AD135" s="24" t="str">
        <f>IF(ISNUMBER(SEARCH(" "&amp;LEFT('Scored Shortlist'!B135,FIND(" ",'Scored Shortlist'!B135)-1)&amp;" "," "&amp;'Scored Shortlist'!N135&amp;" ")),"YES","no")</f>
        <v>no</v>
      </c>
    </row>
    <row r="136" spans="1:30" x14ac:dyDescent="0.25">
      <c r="A136" s="24" t="str">
        <f>'Scored Shortlist'!A136</f>
        <v>CV060</v>
      </c>
      <c r="B136" s="24" t="str">
        <f>'Scored Shortlist'!C136</f>
        <v>JD5</v>
      </c>
      <c r="C136" s="24" t="str">
        <f>INDEX(Resumes!$D$2:$D$101,MATCH(A136,Resumes!$A$2:$A$101,0))</f>
        <v>BBA</v>
      </c>
      <c r="D136" s="24">
        <f>INDEX(Resumes!$E$2:$E$101,MATCH(A136,Resumes!$A$2:$A$101,0))</f>
        <v>3.1</v>
      </c>
      <c r="E136" s="24" t="str">
        <f>INDEX(Resumes!$G$2:$G$101,MATCH(A136,Resumes!$A$2:$A$101,0))</f>
        <v>vendor management, demand forecasting, recruitment, product roadmap, UPI/payments, content writing, Power BI, SEO</v>
      </c>
      <c r="F136" s="24" t="str">
        <f>INDEX(Resumes!$I$2:$I$101,MATCH(A136,Resumes!$A$2:$A$101,0))</f>
        <v>Ishaan Kaur, BBA from a tier-2 institute. 3.1 years of experience, most recently at an IT services firm. Key skills: vendor management, demand forecasting, recruitment, product roadmap, UPI/payments, content writing, Power BI, SEO. Achievement: handled 120 hires in one year. Career gap: None.</v>
      </c>
      <c r="G136" s="24" t="str">
        <f t="shared" si="44"/>
        <v>handled 120 hires in one year</v>
      </c>
      <c r="H136" s="24">
        <f>INDEX('Scoring Prompt'!$C$22:$C$23,MATCH(B136,'Scoring Prompt'!$A$22:$A$23,0))</f>
        <v>3</v>
      </c>
      <c r="I136" s="24">
        <f>INDEX('Scoring Prompt'!$D$22:$D$23,MATCH(B136,'Scoring Prompt'!$A$22:$A$23,0))</f>
        <v>6</v>
      </c>
      <c r="J136" s="24">
        <f>INDEX('Scoring Prompt'!$B$27:$C$34,MATCH(C136,'Scoring Prompt'!$A$27:$A$34,0),MATCH(B136,'Scoring Prompt'!$B$26:$C$26,0))</f>
        <v>5</v>
      </c>
      <c r="K136" s="24">
        <f>IF(AND(D136&gt;=H136,D136&lt;=I136),'Scoring Prompt'!$B$47,IF(D136&lt;H136,IF(H136-D136&lt;=1,'Scoring Prompt'!$B$48,IF(H136-D136&lt;=2,'Scoring Prompt'!$B$49,'Scoring Prompt'!$B$50)),IF(D136-I136&lt;=2,'Scoring Prompt'!$B$51,'Scoring Prompt'!$B$52)))</f>
        <v>25</v>
      </c>
      <c r="L136" s="24">
        <f>IF(B136="JD3",SUMPRODUCT(--ISNUMBER(SEARCH('Scoring Prompt'!$E$22:$I$22,E136))),SUMPRODUCT(--ISNUMBER(SEARCH('Scoring Prompt'!$E$23:$I$23,E136))))</f>
        <v>2</v>
      </c>
      <c r="M136" s="24">
        <f t="shared" si="45"/>
        <v>16</v>
      </c>
      <c r="N136" s="24">
        <f>INDEX('Scoring Prompt'!$B$38:$C$43,MATCH(G136,'Scoring Prompt'!$A$38:$A$43,0),MATCH(B136,'Scoring Prompt'!$B$37:$C$37,0))</f>
        <v>3</v>
      </c>
      <c r="O136" s="24">
        <f t="shared" si="46"/>
        <v>49</v>
      </c>
      <c r="P136" s="24">
        <f>'Scored Shortlist'!E136</f>
        <v>5</v>
      </c>
      <c r="Q136" s="24">
        <f>'Scored Shortlist'!F136</f>
        <v>25</v>
      </c>
      <c r="R136" s="24">
        <f>'Scored Shortlist'!G136</f>
        <v>16</v>
      </c>
      <c r="S136" s="24">
        <f>'Scored Shortlist'!H136</f>
        <v>3</v>
      </c>
      <c r="T136" s="24">
        <f>'Scored Shortlist'!I136</f>
        <v>49</v>
      </c>
      <c r="U136" s="24">
        <f>IF('Scored Shortlist'!M136="none",0,(LEN('Scored Shortlist'!M136)-LEN(SUBSTITUTE('Scored Shortlist'!M136,"&lt;-","")))/2)</f>
        <v>0</v>
      </c>
      <c r="V136" s="24">
        <f t="shared" si="47"/>
        <v>1</v>
      </c>
      <c r="W136" s="24">
        <f t="shared" si="48"/>
        <v>1</v>
      </c>
      <c r="X136" s="24">
        <f t="shared" si="49"/>
        <v>1</v>
      </c>
      <c r="Y136" s="24">
        <f t="shared" si="50"/>
        <v>0</v>
      </c>
      <c r="Z136" s="24">
        <f t="shared" si="51"/>
        <v>0</v>
      </c>
      <c r="AA136" s="24">
        <f t="shared" si="52"/>
        <v>1</v>
      </c>
      <c r="AB136" s="25" t="str">
        <f t="shared" si="53"/>
        <v>OK</v>
      </c>
      <c r="AC136" s="24" t="str">
        <f t="shared" si="54"/>
        <v>Not shortlisted</v>
      </c>
      <c r="AD136" s="24" t="str">
        <f>IF(ISNUMBER(SEARCH(" "&amp;LEFT('Scored Shortlist'!B136,FIND(" ",'Scored Shortlist'!B136)-1)&amp;" "," "&amp;'Scored Shortlist'!N136&amp;" ")),"YES","no")</f>
        <v>no</v>
      </c>
    </row>
    <row r="137" spans="1:30" x14ac:dyDescent="0.25">
      <c r="A137" s="24" t="str">
        <f>'Scored Shortlist'!A137</f>
        <v>CV084</v>
      </c>
      <c r="B137" s="24" t="str">
        <f>'Scored Shortlist'!C137</f>
        <v>JD5</v>
      </c>
      <c r="C137" s="24" t="str">
        <f>INDEX(Resumes!$D$2:$D$101,MATCH(A137,Resumes!$A$2:$A$101,0))</f>
        <v>MBA Marketing</v>
      </c>
      <c r="D137" s="24">
        <f>INDEX(Resumes!$E$2:$E$101,MATCH(A137,Resumes!$A$2:$A$101,0))</f>
        <v>2</v>
      </c>
      <c r="E137" s="24" t="str">
        <f>INDEX(Resumes!$G$2:$G$101,MATCH(A137,Resumes!$A$2:$A$101,0))</f>
        <v>A/B testing, labour law, SQL, public speaking, recruitment, HR analytics</v>
      </c>
      <c r="F137" s="24" t="str">
        <f>INDEX(Resumes!$I$2:$I$101,MATCH(A137,Resumes!$A$2:$A$101,0))</f>
        <v>Gurpreet Rao, MBA Marketing from a tier-2 institute. 2.0 years of experience, most recently at a retail chain. Key skills: A/B testing, labour law, SQL, public speaking, recruitment, HR analytics. Achievement: built a Power BI sales dashboard used by 30 managers. Career gap: None.</v>
      </c>
      <c r="G137" s="24" t="str">
        <f t="shared" si="44"/>
        <v>built a Power BI sales dashboard used by 30 managers</v>
      </c>
      <c r="H137" s="24">
        <f>INDEX('Scoring Prompt'!$C$22:$C$23,MATCH(B137,'Scoring Prompt'!$A$22:$A$23,0))</f>
        <v>3</v>
      </c>
      <c r="I137" s="24">
        <f>INDEX('Scoring Prompt'!$D$22:$D$23,MATCH(B137,'Scoring Prompt'!$A$22:$A$23,0))</f>
        <v>6</v>
      </c>
      <c r="J137" s="24">
        <f>INDEX('Scoring Prompt'!$B$27:$C$34,MATCH(C137,'Scoring Prompt'!$A$27:$A$34,0),MATCH(B137,'Scoring Prompt'!$B$26:$C$26,0))</f>
        <v>15</v>
      </c>
      <c r="K137" s="24">
        <f>IF(AND(D137&gt;=H137,D137&lt;=I137),'Scoring Prompt'!$B$47,IF(D137&lt;H137,IF(H137-D137&lt;=1,'Scoring Prompt'!$B$48,IF(H137-D137&lt;=2,'Scoring Prompt'!$B$49,'Scoring Prompt'!$B$50)),IF(D137-I137&lt;=2,'Scoring Prompt'!$B$51,'Scoring Prompt'!$B$52)))</f>
        <v>15</v>
      </c>
      <c r="L137" s="24">
        <f>IF(B137="JD3",SUMPRODUCT(--ISNUMBER(SEARCH('Scoring Prompt'!$E$22:$I$22,E137))),SUMPRODUCT(--ISNUMBER(SEARCH('Scoring Prompt'!$E$23:$I$23,E137))))</f>
        <v>1</v>
      </c>
      <c r="M137" s="24">
        <f t="shared" si="45"/>
        <v>8</v>
      </c>
      <c r="N137" s="24">
        <f>INDEX('Scoring Prompt'!$B$38:$C$43,MATCH(G137,'Scoring Prompt'!$A$38:$A$43,0),MATCH(B137,'Scoring Prompt'!$B$37:$C$37,0))</f>
        <v>7</v>
      </c>
      <c r="O137" s="24">
        <f t="shared" si="46"/>
        <v>45</v>
      </c>
      <c r="P137" s="24">
        <f>'Scored Shortlist'!E137</f>
        <v>15</v>
      </c>
      <c r="Q137" s="24">
        <f>'Scored Shortlist'!F137</f>
        <v>15</v>
      </c>
      <c r="R137" s="24">
        <f>'Scored Shortlist'!G137</f>
        <v>12</v>
      </c>
      <c r="S137" s="24">
        <f>'Scored Shortlist'!H137</f>
        <v>7</v>
      </c>
      <c r="T137" s="24">
        <f>'Scored Shortlist'!I137</f>
        <v>49</v>
      </c>
      <c r="U137" s="24">
        <f>IF('Scored Shortlist'!M137="none",0,(LEN('Scored Shortlist'!M137)-LEN(SUBSTITUTE('Scored Shortlist'!M137,"&lt;-","")))/2)</f>
        <v>1</v>
      </c>
      <c r="V137" s="24">
        <f t="shared" si="47"/>
        <v>1</v>
      </c>
      <c r="W137" s="24">
        <f t="shared" si="48"/>
        <v>1</v>
      </c>
      <c r="X137" s="24">
        <f t="shared" si="49"/>
        <v>1</v>
      </c>
      <c r="Y137" s="24">
        <f t="shared" si="50"/>
        <v>4</v>
      </c>
      <c r="Z137" s="24">
        <f t="shared" si="51"/>
        <v>4</v>
      </c>
      <c r="AA137" s="24">
        <f t="shared" si="52"/>
        <v>1</v>
      </c>
      <c r="AB137" s="25" t="str">
        <f t="shared" si="53"/>
        <v>OK</v>
      </c>
      <c r="AC137" s="24" t="str">
        <f t="shared" si="54"/>
        <v>Not shortlisted</v>
      </c>
      <c r="AD137" s="24" t="str">
        <f>IF(ISNUMBER(SEARCH(" "&amp;LEFT('Scored Shortlist'!B137,FIND(" ",'Scored Shortlist'!B137)-1)&amp;" "," "&amp;'Scored Shortlist'!N137&amp;" ")),"YES","no")</f>
        <v>no</v>
      </c>
    </row>
    <row r="138" spans="1:30" x14ac:dyDescent="0.25">
      <c r="A138" s="24" t="str">
        <f>'Scored Shortlist'!A138</f>
        <v>CV001</v>
      </c>
      <c r="B138" s="24" t="str">
        <f>'Scored Shortlist'!C138</f>
        <v>JD5</v>
      </c>
      <c r="C138" s="24" t="str">
        <f>INDEX(Resumes!$D$2:$D$101,MATCH(A138,Resumes!$A$2:$A$101,0))</f>
        <v>B.Tech + MBA</v>
      </c>
      <c r="D138" s="24">
        <f>INDEX(Resumes!$E$2:$E$101,MATCH(A138,Resumes!$A$2:$A$101,0))</f>
        <v>6.4</v>
      </c>
      <c r="E138" s="24" t="str">
        <f>INDEX(Resumes!$G$2:$G$101,MATCH(A138,Resumes!$A$2:$A$101,0))</f>
        <v>vendor management, demand forecasting, Google Analytics, labour law</v>
      </c>
      <c r="F138" s="24" t="str">
        <f>INDEX(Resumes!$I$2:$I$101,MATCH(A138,Resumes!$A$2:$A$101,0))</f>
        <v>Gurpreet Kulkarni, B.Tech + MBA from a tier-2 institute. 6.4 years of experience, most recently at an FMCG distributor. Key skills: vendor management, demand forecasting, Google Analytics, labour law. Achievement: handled 120 hires in one year. Career gap: None.</v>
      </c>
      <c r="G138" s="24" t="str">
        <f t="shared" si="44"/>
        <v>handled 120 hires in one year</v>
      </c>
      <c r="H138" s="24">
        <f>INDEX('Scoring Prompt'!$C$22:$C$23,MATCH(B138,'Scoring Prompt'!$A$22:$A$23,0))</f>
        <v>3</v>
      </c>
      <c r="I138" s="24">
        <f>INDEX('Scoring Prompt'!$D$22:$D$23,MATCH(B138,'Scoring Prompt'!$A$22:$A$23,0))</f>
        <v>6</v>
      </c>
      <c r="J138" s="24">
        <f>INDEX('Scoring Prompt'!$B$27:$C$34,MATCH(C138,'Scoring Prompt'!$A$27:$A$34,0),MATCH(B138,'Scoring Prompt'!$B$26:$C$26,0))</f>
        <v>25</v>
      </c>
      <c r="K138" s="24">
        <f>IF(AND(D138&gt;=H138,D138&lt;=I138),'Scoring Prompt'!$B$47,IF(D138&lt;H138,IF(H138-D138&lt;=1,'Scoring Prompt'!$B$48,IF(H138-D138&lt;=2,'Scoring Prompt'!$B$49,'Scoring Prompt'!$B$50)),IF(D138-I138&lt;=2,'Scoring Prompt'!$B$51,'Scoring Prompt'!$B$52)))</f>
        <v>20</v>
      </c>
      <c r="L138" s="24">
        <f>IF(B138="JD3",SUMPRODUCT(--ISNUMBER(SEARCH('Scoring Prompt'!$E$22:$I$22,E138))),SUMPRODUCT(--ISNUMBER(SEARCH('Scoring Prompt'!$E$23:$I$23,E138))))</f>
        <v>0</v>
      </c>
      <c r="M138" s="24">
        <f t="shared" si="45"/>
        <v>0</v>
      </c>
      <c r="N138" s="24">
        <f>INDEX('Scoring Prompt'!$B$38:$C$43,MATCH(G138,'Scoring Prompt'!$A$38:$A$43,0),MATCH(B138,'Scoring Prompt'!$B$37:$C$37,0))</f>
        <v>3</v>
      </c>
      <c r="O138" s="24">
        <f t="shared" si="46"/>
        <v>48</v>
      </c>
      <c r="P138" s="24">
        <f>'Scored Shortlist'!E138</f>
        <v>25</v>
      </c>
      <c r="Q138" s="24">
        <f>'Scored Shortlist'!F138</f>
        <v>20</v>
      </c>
      <c r="R138" s="24">
        <f>'Scored Shortlist'!G138</f>
        <v>0</v>
      </c>
      <c r="S138" s="24">
        <f>'Scored Shortlist'!H138</f>
        <v>3</v>
      </c>
      <c r="T138" s="24">
        <f>'Scored Shortlist'!I138</f>
        <v>48</v>
      </c>
      <c r="U138" s="24">
        <f>IF('Scored Shortlist'!M138="none",0,(LEN('Scored Shortlist'!M138)-LEN(SUBSTITUTE('Scored Shortlist'!M138,"&lt;-","")))/2)</f>
        <v>0</v>
      </c>
      <c r="V138" s="24">
        <f t="shared" si="47"/>
        <v>1</v>
      </c>
      <c r="W138" s="24">
        <f t="shared" si="48"/>
        <v>1</v>
      </c>
      <c r="X138" s="24">
        <f t="shared" si="49"/>
        <v>1</v>
      </c>
      <c r="Y138" s="24">
        <f t="shared" si="50"/>
        <v>0</v>
      </c>
      <c r="Z138" s="24">
        <f t="shared" si="51"/>
        <v>0</v>
      </c>
      <c r="AA138" s="24">
        <f t="shared" si="52"/>
        <v>1</v>
      </c>
      <c r="AB138" s="25" t="str">
        <f t="shared" si="53"/>
        <v>OK</v>
      </c>
      <c r="AC138" s="24" t="str">
        <f t="shared" si="54"/>
        <v>Not shortlisted</v>
      </c>
      <c r="AD138" s="24" t="str">
        <f>IF(ISNUMBER(SEARCH(" "&amp;LEFT('Scored Shortlist'!B138,FIND(" ",'Scored Shortlist'!B138)-1)&amp;" "," "&amp;'Scored Shortlist'!N138&amp;" ")),"YES","no")</f>
        <v>no</v>
      </c>
    </row>
    <row r="139" spans="1:30" x14ac:dyDescent="0.25">
      <c r="A139" s="24" t="str">
        <f>'Scored Shortlist'!A139</f>
        <v>CV036</v>
      </c>
      <c r="B139" s="24" t="str">
        <f>'Scored Shortlist'!C139</f>
        <v>JD5</v>
      </c>
      <c r="C139" s="24" t="str">
        <f>INDEX(Resumes!$D$2:$D$101,MATCH(A139,Resumes!$A$2:$A$101,0))</f>
        <v>BBA</v>
      </c>
      <c r="D139" s="24">
        <f>INDEX(Resumes!$E$2:$E$101,MATCH(A139,Resumes!$A$2:$A$101,0))</f>
        <v>3.7</v>
      </c>
      <c r="E139" s="24" t="str">
        <f>INDEX(Resumes!$G$2:$G$101,MATCH(A139,Resumes!$A$2:$A$101,0))</f>
        <v>stakeholder management, campaign management, SAP MM, content writing, agile, Excel, labour law</v>
      </c>
      <c r="F139" s="24" t="str">
        <f>INDEX(Resumes!$I$2:$I$101,MATCH(A139,Resumes!$A$2:$A$101,0))</f>
        <v>Riya Kaur, BBA from a tier-3 institute. 3.7 years of experience, most recently at a fintech start-up. Key skills: stakeholder management, campaign management, SAP MM, content writing, agile, Excel, labour law. Achievement: cut reporting time by 40% by automating Excel reports. Career gap: 6-month gap (exam preparation).</v>
      </c>
      <c r="G139" s="24" t="str">
        <f t="shared" si="44"/>
        <v>cut reporting time by 40% by automating Excel reports</v>
      </c>
      <c r="H139" s="24">
        <f>INDEX('Scoring Prompt'!$C$22:$C$23,MATCH(B139,'Scoring Prompt'!$A$22:$A$23,0))</f>
        <v>3</v>
      </c>
      <c r="I139" s="24">
        <f>INDEX('Scoring Prompt'!$D$22:$D$23,MATCH(B139,'Scoring Prompt'!$A$22:$A$23,0))</f>
        <v>6</v>
      </c>
      <c r="J139" s="24">
        <f>INDEX('Scoring Prompt'!$B$27:$C$34,MATCH(C139,'Scoring Prompt'!$A$27:$A$34,0),MATCH(B139,'Scoring Prompt'!$B$26:$C$26,0))</f>
        <v>5</v>
      </c>
      <c r="K139" s="24">
        <f>IF(AND(D139&gt;=H139,D139&lt;=I139),'Scoring Prompt'!$B$47,IF(D139&lt;H139,IF(H139-D139&lt;=1,'Scoring Prompt'!$B$48,IF(H139-D139&lt;=2,'Scoring Prompt'!$B$49,'Scoring Prompt'!$B$50)),IF(D139-I139&lt;=2,'Scoring Prompt'!$B$51,'Scoring Prompt'!$B$52)))</f>
        <v>25</v>
      </c>
      <c r="L139" s="24">
        <f>IF(B139="JD3",SUMPRODUCT(--ISNUMBER(SEARCH('Scoring Prompt'!$E$22:$I$22,E139))),SUMPRODUCT(--ISNUMBER(SEARCH('Scoring Prompt'!$E$23:$I$23,E139))))</f>
        <v>1</v>
      </c>
      <c r="M139" s="24">
        <f t="shared" si="45"/>
        <v>8</v>
      </c>
      <c r="N139" s="24">
        <f>INDEX('Scoring Prompt'!$B$38:$C$43,MATCH(G139,'Scoring Prompt'!$A$38:$A$43,0),MATCH(B139,'Scoring Prompt'!$B$37:$C$37,0))</f>
        <v>6</v>
      </c>
      <c r="O139" s="24">
        <f t="shared" si="46"/>
        <v>44</v>
      </c>
      <c r="P139" s="24">
        <f>'Scored Shortlist'!E139</f>
        <v>5</v>
      </c>
      <c r="Q139" s="24">
        <f>'Scored Shortlist'!F139</f>
        <v>25</v>
      </c>
      <c r="R139" s="24">
        <f>'Scored Shortlist'!G139</f>
        <v>12</v>
      </c>
      <c r="S139" s="24">
        <f>'Scored Shortlist'!H139</f>
        <v>6</v>
      </c>
      <c r="T139" s="24">
        <f>'Scored Shortlist'!I139</f>
        <v>48</v>
      </c>
      <c r="U139" s="24">
        <f>IF('Scored Shortlist'!M139="none",0,(LEN('Scored Shortlist'!M139)-LEN(SUBSTITUTE('Scored Shortlist'!M139,"&lt;-","")))/2)</f>
        <v>1</v>
      </c>
      <c r="V139" s="24">
        <f t="shared" si="47"/>
        <v>1</v>
      </c>
      <c r="W139" s="24">
        <f t="shared" si="48"/>
        <v>1</v>
      </c>
      <c r="X139" s="24">
        <f t="shared" si="49"/>
        <v>1</v>
      </c>
      <c r="Y139" s="24">
        <f t="shared" si="50"/>
        <v>4</v>
      </c>
      <c r="Z139" s="24">
        <f t="shared" si="51"/>
        <v>4</v>
      </c>
      <c r="AA139" s="24">
        <f t="shared" si="52"/>
        <v>1</v>
      </c>
      <c r="AB139" s="25" t="str">
        <f t="shared" si="53"/>
        <v>OK</v>
      </c>
      <c r="AC139" s="24" t="str">
        <f t="shared" si="54"/>
        <v>Not shortlisted</v>
      </c>
      <c r="AD139" s="24" t="str">
        <f>IF(ISNUMBER(SEARCH(" "&amp;LEFT('Scored Shortlist'!B139,FIND(" ",'Scored Shortlist'!B139)-1)&amp;" "," "&amp;'Scored Shortlist'!N139&amp;" ")),"YES","no")</f>
        <v>no</v>
      </c>
    </row>
    <row r="140" spans="1:30" x14ac:dyDescent="0.25">
      <c r="A140" s="24" t="str">
        <f>'Scored Shortlist'!A140</f>
        <v>CV015</v>
      </c>
      <c r="B140" s="24" t="str">
        <f>'Scored Shortlist'!C140</f>
        <v>JD5</v>
      </c>
      <c r="C140" s="24" t="str">
        <f>INDEX(Resumes!$D$2:$D$101,MATCH(A140,Resumes!$A$2:$A$101,0))</f>
        <v>MBA Finance</v>
      </c>
      <c r="D140" s="24">
        <f>INDEX(Resumes!$E$2:$E$101,MATCH(A140,Resumes!$A$2:$A$101,0))</f>
        <v>6.9</v>
      </c>
      <c r="E140" s="24" t="str">
        <f>INDEX(Resumes!$G$2:$G$101,MATCH(A140,Resumes!$A$2:$A$101,0))</f>
        <v>labour law, valuation, stakeholder management, Python, Excel, A/B testing, product roadmap, Google Analytics</v>
      </c>
      <c r="F140" s="24" t="str">
        <f>INDEX(Resumes!$I$2:$I$101,MATCH(A140,Resumes!$A$2:$A$101,0))</f>
        <v>Aarav Das, MBA Finance from a tier-1 institute. 6.9 years of experience, most recently at an FMCG distributor. Key skills: labour law, valuation, stakeholder management, Python, Excel, A/B testing, product roadmap, Google Analytics. Achievement: no major achievement listed. Career gap: None.</v>
      </c>
      <c r="G140" s="24" t="str">
        <f t="shared" si="44"/>
        <v>no major achievement listed</v>
      </c>
      <c r="H140" s="24">
        <f>INDEX('Scoring Prompt'!$C$22:$C$23,MATCH(B140,'Scoring Prompt'!$A$22:$A$23,0))</f>
        <v>3</v>
      </c>
      <c r="I140" s="24">
        <f>INDEX('Scoring Prompt'!$D$22:$D$23,MATCH(B140,'Scoring Prompt'!$A$22:$A$23,0))</f>
        <v>6</v>
      </c>
      <c r="J140" s="24">
        <f>INDEX('Scoring Prompt'!$B$27:$C$34,MATCH(C140,'Scoring Prompt'!$A$27:$A$34,0),MATCH(B140,'Scoring Prompt'!$B$26:$C$26,0))</f>
        <v>15</v>
      </c>
      <c r="K140" s="24">
        <f>IF(AND(D140&gt;=H140,D140&lt;=I140),'Scoring Prompt'!$B$47,IF(D140&lt;H140,IF(H140-D140&lt;=1,'Scoring Prompt'!$B$48,IF(H140-D140&lt;=2,'Scoring Prompt'!$B$49,'Scoring Prompt'!$B$50)),IF(D140-I140&lt;=2,'Scoring Prompt'!$B$51,'Scoring Prompt'!$B$52)))</f>
        <v>20</v>
      </c>
      <c r="L140" s="24">
        <f>IF(B140="JD3",SUMPRODUCT(--ISNUMBER(SEARCH('Scoring Prompt'!$E$22:$I$22,E140))),SUMPRODUCT(--ISNUMBER(SEARCH('Scoring Prompt'!$E$23:$I$23,E140))))</f>
        <v>1</v>
      </c>
      <c r="M140" s="24">
        <f t="shared" si="45"/>
        <v>8</v>
      </c>
      <c r="N140" s="24">
        <f>INDEX('Scoring Prompt'!$B$38:$C$43,MATCH(G140,'Scoring Prompt'!$A$38:$A$43,0),MATCH(B140,'Scoring Prompt'!$B$37:$C$37,0))</f>
        <v>0</v>
      </c>
      <c r="O140" s="24">
        <f t="shared" si="46"/>
        <v>43</v>
      </c>
      <c r="P140" s="24">
        <f>'Scored Shortlist'!E140</f>
        <v>15</v>
      </c>
      <c r="Q140" s="24">
        <f>'Scored Shortlist'!F140</f>
        <v>20</v>
      </c>
      <c r="R140" s="24">
        <f>'Scored Shortlist'!G140</f>
        <v>12</v>
      </c>
      <c r="S140" s="24">
        <f>'Scored Shortlist'!H140</f>
        <v>0</v>
      </c>
      <c r="T140" s="24">
        <f>'Scored Shortlist'!I140</f>
        <v>47</v>
      </c>
      <c r="U140" s="24">
        <f>IF('Scored Shortlist'!M140="none",0,(LEN('Scored Shortlist'!M140)-LEN(SUBSTITUTE('Scored Shortlist'!M140,"&lt;-","")))/2)</f>
        <v>1</v>
      </c>
      <c r="V140" s="24">
        <f t="shared" si="47"/>
        <v>1</v>
      </c>
      <c r="W140" s="24">
        <f t="shared" si="48"/>
        <v>1</v>
      </c>
      <c r="X140" s="24">
        <f t="shared" si="49"/>
        <v>1</v>
      </c>
      <c r="Y140" s="24">
        <f t="shared" si="50"/>
        <v>4</v>
      </c>
      <c r="Z140" s="24">
        <f t="shared" si="51"/>
        <v>4</v>
      </c>
      <c r="AA140" s="24">
        <f t="shared" si="52"/>
        <v>1</v>
      </c>
      <c r="AB140" s="25" t="str">
        <f t="shared" si="53"/>
        <v>OK</v>
      </c>
      <c r="AC140" s="24" t="str">
        <f t="shared" si="54"/>
        <v>Not shortlisted</v>
      </c>
      <c r="AD140" s="24" t="str">
        <f>IF(ISNUMBER(SEARCH(" "&amp;LEFT('Scored Shortlist'!B140,FIND(" ",'Scored Shortlist'!B140)-1)&amp;" "," "&amp;'Scored Shortlist'!N140&amp;" ")),"YES","no")</f>
        <v>no</v>
      </c>
    </row>
    <row r="141" spans="1:30" x14ac:dyDescent="0.25">
      <c r="A141" s="24" t="str">
        <f>'Scored Shortlist'!A141</f>
        <v>CV047</v>
      </c>
      <c r="B141" s="24" t="str">
        <f>'Scored Shortlist'!C141</f>
        <v>JD5</v>
      </c>
      <c r="C141" s="24" t="str">
        <f>INDEX(Resumes!$D$2:$D$101,MATCH(A141,Resumes!$A$2:$A$101,0))</f>
        <v>MBA Operations</v>
      </c>
      <c r="D141" s="24">
        <f>INDEX(Resumes!$E$2:$E$101,MATCH(A141,Resumes!$A$2:$A$101,0))</f>
        <v>8.4</v>
      </c>
      <c r="E141" s="24" t="str">
        <f>INDEX(Resumes!$G$2:$G$101,MATCH(A141,Resumes!$A$2:$A$101,0))</f>
        <v>Python, SAP MM, vendor management, user research, campaign management, financial modelling, demand forecasting, UPI/payments</v>
      </c>
      <c r="F141" s="24" t="str">
        <f>INDEX(Resumes!$I$2:$I$101,MATCH(A141,Resumes!$A$2:$A$101,0))</f>
        <v>Pallavi Mukherjee, MBA Operations from a tier-3 institute. 8.4 years of experience, most recently at an IT services firm. Key skills: Python, SAP MM, vendor management, user research, campaign management, financial modelling, demand forecasting, UPI/payments. Achievement: improved vendor on-time delivery from 78% to 92%. Career gap: None.</v>
      </c>
      <c r="G141" s="24" t="str">
        <f t="shared" si="44"/>
        <v>improved vendor on-time delivery from 78% to 92%</v>
      </c>
      <c r="H141" s="24">
        <f>INDEX('Scoring Prompt'!$C$22:$C$23,MATCH(B141,'Scoring Prompt'!$A$22:$A$23,0))</f>
        <v>3</v>
      </c>
      <c r="I141" s="24">
        <f>INDEX('Scoring Prompt'!$D$22:$D$23,MATCH(B141,'Scoring Prompt'!$A$22:$A$23,0))</f>
        <v>6</v>
      </c>
      <c r="J141" s="24">
        <f>INDEX('Scoring Prompt'!$B$27:$C$34,MATCH(C141,'Scoring Prompt'!$A$27:$A$34,0),MATCH(B141,'Scoring Prompt'!$B$26:$C$26,0))</f>
        <v>15</v>
      </c>
      <c r="K141" s="24">
        <f>IF(AND(D141&gt;=H141,D141&lt;=I141),'Scoring Prompt'!$B$47,IF(D141&lt;H141,IF(H141-D141&lt;=1,'Scoring Prompt'!$B$48,IF(H141-D141&lt;=2,'Scoring Prompt'!$B$49,'Scoring Prompt'!$B$50)),IF(D141-I141&lt;=2,'Scoring Prompt'!$B$51,'Scoring Prompt'!$B$52)))</f>
        <v>12</v>
      </c>
      <c r="L141" s="24">
        <f>IF(B141="JD3",SUMPRODUCT(--ISNUMBER(SEARCH('Scoring Prompt'!$E$22:$I$22,E141))),SUMPRODUCT(--ISNUMBER(SEARCH('Scoring Prompt'!$E$23:$I$23,E141))))</f>
        <v>2</v>
      </c>
      <c r="M141" s="24">
        <f t="shared" si="45"/>
        <v>16</v>
      </c>
      <c r="N141" s="24">
        <f>INDEX('Scoring Prompt'!$B$38:$C$43,MATCH(G141,'Scoring Prompt'!$A$38:$A$43,0),MATCH(B141,'Scoring Prompt'!$B$37:$C$37,0))</f>
        <v>4</v>
      </c>
      <c r="O141" s="24">
        <f t="shared" si="46"/>
        <v>47</v>
      </c>
      <c r="P141" s="24">
        <f>'Scored Shortlist'!E141</f>
        <v>15</v>
      </c>
      <c r="Q141" s="24">
        <f>'Scored Shortlist'!F141</f>
        <v>12</v>
      </c>
      <c r="R141" s="24">
        <f>'Scored Shortlist'!G141</f>
        <v>16</v>
      </c>
      <c r="S141" s="24">
        <f>'Scored Shortlist'!H141</f>
        <v>4</v>
      </c>
      <c r="T141" s="24">
        <f>'Scored Shortlist'!I141</f>
        <v>47</v>
      </c>
      <c r="U141" s="24">
        <f>IF('Scored Shortlist'!M141="none",0,(LEN('Scored Shortlist'!M141)-LEN(SUBSTITUTE('Scored Shortlist'!M141,"&lt;-","")))/2)</f>
        <v>0</v>
      </c>
      <c r="V141" s="24">
        <f t="shared" si="47"/>
        <v>1</v>
      </c>
      <c r="W141" s="24">
        <f t="shared" si="48"/>
        <v>1</v>
      </c>
      <c r="X141" s="24">
        <f t="shared" si="49"/>
        <v>1</v>
      </c>
      <c r="Y141" s="24">
        <f t="shared" si="50"/>
        <v>0</v>
      </c>
      <c r="Z141" s="24">
        <f t="shared" si="51"/>
        <v>0</v>
      </c>
      <c r="AA141" s="24">
        <f t="shared" si="52"/>
        <v>1</v>
      </c>
      <c r="AB141" s="25" t="str">
        <f t="shared" si="53"/>
        <v>OK</v>
      </c>
      <c r="AC141" s="24" t="str">
        <f t="shared" si="54"/>
        <v>Not shortlisted</v>
      </c>
      <c r="AD141" s="24" t="str">
        <f>IF(ISNUMBER(SEARCH(" "&amp;LEFT('Scored Shortlist'!B141,FIND(" ",'Scored Shortlist'!B141)-1)&amp;" "," "&amp;'Scored Shortlist'!N141&amp;" ")),"YES","no")</f>
        <v>no</v>
      </c>
    </row>
    <row r="142" spans="1:30" x14ac:dyDescent="0.25">
      <c r="A142" s="24" t="str">
        <f>'Scored Shortlist'!A142</f>
        <v>CV055</v>
      </c>
      <c r="B142" s="24" t="str">
        <f>'Scored Shortlist'!C142</f>
        <v>JD5</v>
      </c>
      <c r="C142" s="24" t="str">
        <f>INDEX(Resumes!$D$2:$D$101,MATCH(A142,Resumes!$A$2:$A$101,0))</f>
        <v>CA</v>
      </c>
      <c r="D142" s="24">
        <f>INDEX(Resumes!$E$2:$E$101,MATCH(A142,Resumes!$A$2:$A$101,0))</f>
        <v>7.3</v>
      </c>
      <c r="E142" s="24" t="str">
        <f>INDEX(Resumes!$G$2:$G$101,MATCH(A142,Resumes!$A$2:$A$101,0))</f>
        <v>HR analytics, Tableau, employee relations, A/B testing, valuation, SQL, Google Analytics, Excel</v>
      </c>
      <c r="F142" s="24" t="str">
        <f>INDEX(Resumes!$I$2:$I$101,MATCH(A142,Resumes!$A$2:$A$101,0))</f>
        <v>Joseph Jadhav, CA from a tier-3 institute. 7.3 years of experience, most recently at a bank. Key skills: HR analytics, Tableau, employee relations, A/B testing, valuation, SQL, Google Analytics, Excel. Achievement: cut reporting time by 40% by automating Excel reports. Career gap: None.</v>
      </c>
      <c r="G142" s="24" t="str">
        <f t="shared" si="44"/>
        <v>cut reporting time by 40% by automating Excel reports</v>
      </c>
      <c r="H142" s="24">
        <f>INDEX('Scoring Prompt'!$C$22:$C$23,MATCH(B142,'Scoring Prompt'!$A$22:$A$23,0))</f>
        <v>3</v>
      </c>
      <c r="I142" s="24">
        <f>INDEX('Scoring Prompt'!$D$22:$D$23,MATCH(B142,'Scoring Prompt'!$A$22:$A$23,0))</f>
        <v>6</v>
      </c>
      <c r="J142" s="24">
        <f>INDEX('Scoring Prompt'!$B$27:$C$34,MATCH(C142,'Scoring Prompt'!$A$27:$A$34,0),MATCH(B142,'Scoring Prompt'!$B$26:$C$26,0))</f>
        <v>5</v>
      </c>
      <c r="K142" s="24">
        <f>IF(AND(D142&gt;=H142,D142&lt;=I142),'Scoring Prompt'!$B$47,IF(D142&lt;H142,IF(H142-D142&lt;=1,'Scoring Prompt'!$B$48,IF(H142-D142&lt;=2,'Scoring Prompt'!$B$49,'Scoring Prompt'!$B$50)),IF(D142-I142&lt;=2,'Scoring Prompt'!$B$51,'Scoring Prompt'!$B$52)))</f>
        <v>20</v>
      </c>
      <c r="L142" s="24">
        <f>IF(B142="JD3",SUMPRODUCT(--ISNUMBER(SEARCH('Scoring Prompt'!$E$22:$I$22,E142))),SUMPRODUCT(--ISNUMBER(SEARCH('Scoring Prompt'!$E$23:$I$23,E142))))</f>
        <v>1</v>
      </c>
      <c r="M142" s="24">
        <f t="shared" si="45"/>
        <v>8</v>
      </c>
      <c r="N142" s="24">
        <f>INDEX('Scoring Prompt'!$B$38:$C$43,MATCH(G142,'Scoring Prompt'!$A$38:$A$43,0),MATCH(B142,'Scoring Prompt'!$B$37:$C$37,0))</f>
        <v>6</v>
      </c>
      <c r="O142" s="24">
        <f t="shared" si="46"/>
        <v>39</v>
      </c>
      <c r="P142" s="24">
        <f>'Scored Shortlist'!E142</f>
        <v>5</v>
      </c>
      <c r="Q142" s="24">
        <f>'Scored Shortlist'!F142</f>
        <v>20</v>
      </c>
      <c r="R142" s="24">
        <f>'Scored Shortlist'!G142</f>
        <v>16</v>
      </c>
      <c r="S142" s="24">
        <f>'Scored Shortlist'!H142</f>
        <v>6</v>
      </c>
      <c r="T142" s="24">
        <f>'Scored Shortlist'!I142</f>
        <v>47</v>
      </c>
      <c r="U142" s="24">
        <f>IF('Scored Shortlist'!M142="none",0,(LEN('Scored Shortlist'!M142)-LEN(SUBSTITUTE('Scored Shortlist'!M142,"&lt;-","")))/2)</f>
        <v>2</v>
      </c>
      <c r="V142" s="24">
        <f t="shared" si="47"/>
        <v>1</v>
      </c>
      <c r="W142" s="24">
        <f t="shared" si="48"/>
        <v>1</v>
      </c>
      <c r="X142" s="24">
        <f t="shared" si="49"/>
        <v>1</v>
      </c>
      <c r="Y142" s="24">
        <f t="shared" si="50"/>
        <v>8</v>
      </c>
      <c r="Z142" s="24">
        <f t="shared" si="51"/>
        <v>8</v>
      </c>
      <c r="AA142" s="24">
        <f t="shared" si="52"/>
        <v>1</v>
      </c>
      <c r="AB142" s="25" t="str">
        <f t="shared" si="53"/>
        <v>OK</v>
      </c>
      <c r="AC142" s="24" t="str">
        <f t="shared" si="54"/>
        <v>Not shortlisted</v>
      </c>
      <c r="AD142" s="24" t="str">
        <f>IF(ISNUMBER(SEARCH(" "&amp;LEFT('Scored Shortlist'!B142,FIND(" ",'Scored Shortlist'!B142)-1)&amp;" "," "&amp;'Scored Shortlist'!N142&amp;" ")),"YES","no")</f>
        <v>no</v>
      </c>
    </row>
    <row r="143" spans="1:30" x14ac:dyDescent="0.25">
      <c r="A143" s="24" t="str">
        <f>'Scored Shortlist'!A143</f>
        <v>CV053</v>
      </c>
      <c r="B143" s="24" t="str">
        <f>'Scored Shortlist'!C143</f>
        <v>JD5</v>
      </c>
      <c r="C143" s="24" t="str">
        <f>INDEX(Resumes!$D$2:$D$101,MATCH(A143,Resumes!$A$2:$A$101,0))</f>
        <v>CA</v>
      </c>
      <c r="D143" s="24">
        <f>INDEX(Resumes!$E$2:$E$101,MATCH(A143,Resumes!$A$2:$A$101,0))</f>
        <v>5.4</v>
      </c>
      <c r="E143" s="24" t="str">
        <f>INDEX(Resumes!$G$2:$G$101,MATCH(A143,Resumes!$A$2:$A$101,0))</f>
        <v>campaign management, demand forecasting, vendor management, product roadmap, UPI/payments, HR analytics</v>
      </c>
      <c r="F143" s="24" t="str">
        <f>INDEX(Resumes!$I$2:$I$101,MATCH(A143,Resumes!$A$2:$A$101,0))</f>
        <v>Rajesh Shinde, CA from a tier-1 institute. 5.4 years of experience, most recently at a manufacturing company. Key skills: campaign management, demand forecasting, vendor management, product roadmap, UPI/payments, HR analytics. Achievement: no major achievement listed. Career gap: None.</v>
      </c>
      <c r="G143" s="24" t="str">
        <f t="shared" si="44"/>
        <v>no major achievement listed</v>
      </c>
      <c r="H143" s="24">
        <f>INDEX('Scoring Prompt'!$C$22:$C$23,MATCH(B143,'Scoring Prompt'!$A$22:$A$23,0))</f>
        <v>3</v>
      </c>
      <c r="I143" s="24">
        <f>INDEX('Scoring Prompt'!$D$22:$D$23,MATCH(B143,'Scoring Prompt'!$A$22:$A$23,0))</f>
        <v>6</v>
      </c>
      <c r="J143" s="24">
        <f>INDEX('Scoring Prompt'!$B$27:$C$34,MATCH(C143,'Scoring Prompt'!$A$27:$A$34,0),MATCH(B143,'Scoring Prompt'!$B$26:$C$26,0))</f>
        <v>5</v>
      </c>
      <c r="K143" s="24">
        <f>IF(AND(D143&gt;=H143,D143&lt;=I143),'Scoring Prompt'!$B$47,IF(D143&lt;H143,IF(H143-D143&lt;=1,'Scoring Prompt'!$B$48,IF(H143-D143&lt;=2,'Scoring Prompt'!$B$49,'Scoring Prompt'!$B$50)),IF(D143-I143&lt;=2,'Scoring Prompt'!$B$51,'Scoring Prompt'!$B$52)))</f>
        <v>25</v>
      </c>
      <c r="L143" s="24">
        <f>IF(B143="JD3",SUMPRODUCT(--ISNUMBER(SEARCH('Scoring Prompt'!$E$22:$I$22,E143))),SUMPRODUCT(--ISNUMBER(SEARCH('Scoring Prompt'!$E$23:$I$23,E143))))</f>
        <v>2</v>
      </c>
      <c r="M143" s="24">
        <f t="shared" si="45"/>
        <v>16</v>
      </c>
      <c r="N143" s="24">
        <f>INDEX('Scoring Prompt'!$B$38:$C$43,MATCH(G143,'Scoring Prompt'!$A$38:$A$43,0),MATCH(B143,'Scoring Prompt'!$B$37:$C$37,0))</f>
        <v>0</v>
      </c>
      <c r="O143" s="24">
        <f t="shared" si="46"/>
        <v>46</v>
      </c>
      <c r="P143" s="24">
        <f>'Scored Shortlist'!E143</f>
        <v>5</v>
      </c>
      <c r="Q143" s="24">
        <f>'Scored Shortlist'!F143</f>
        <v>25</v>
      </c>
      <c r="R143" s="24">
        <f>'Scored Shortlist'!G143</f>
        <v>16</v>
      </c>
      <c r="S143" s="24">
        <f>'Scored Shortlist'!H143</f>
        <v>0</v>
      </c>
      <c r="T143" s="24">
        <f>'Scored Shortlist'!I143</f>
        <v>46</v>
      </c>
      <c r="U143" s="24">
        <f>IF('Scored Shortlist'!M143="none",0,(LEN('Scored Shortlist'!M143)-LEN(SUBSTITUTE('Scored Shortlist'!M143,"&lt;-","")))/2)</f>
        <v>0</v>
      </c>
      <c r="V143" s="24">
        <f t="shared" si="47"/>
        <v>1</v>
      </c>
      <c r="W143" s="24">
        <f t="shared" si="48"/>
        <v>1</v>
      </c>
      <c r="X143" s="24">
        <f t="shared" si="49"/>
        <v>1</v>
      </c>
      <c r="Y143" s="24">
        <f t="shared" si="50"/>
        <v>0</v>
      </c>
      <c r="Z143" s="24">
        <f t="shared" si="51"/>
        <v>0</v>
      </c>
      <c r="AA143" s="24">
        <f t="shared" si="52"/>
        <v>1</v>
      </c>
      <c r="AB143" s="25" t="str">
        <f t="shared" si="53"/>
        <v>OK</v>
      </c>
      <c r="AC143" s="24" t="str">
        <f t="shared" si="54"/>
        <v>Not shortlisted</v>
      </c>
      <c r="AD143" s="24" t="str">
        <f>IF(ISNUMBER(SEARCH(" "&amp;LEFT('Scored Shortlist'!B143,FIND(" ",'Scored Shortlist'!B143)-1)&amp;" "," "&amp;'Scored Shortlist'!N143&amp;" ")),"YES","no")</f>
        <v>no</v>
      </c>
    </row>
    <row r="144" spans="1:30" x14ac:dyDescent="0.25">
      <c r="A144" s="24" t="str">
        <f>'Scored Shortlist'!A144</f>
        <v>CV005</v>
      </c>
      <c r="B144" s="24" t="str">
        <f>'Scored Shortlist'!C144</f>
        <v>JD5</v>
      </c>
      <c r="C144" s="24" t="str">
        <f>INDEX(Resumes!$D$2:$D$101,MATCH(A144,Resumes!$A$2:$A$101,0))</f>
        <v>BBA</v>
      </c>
      <c r="D144" s="24">
        <f>INDEX(Resumes!$E$2:$E$101,MATCH(A144,Resumes!$A$2:$A$101,0))</f>
        <v>3</v>
      </c>
      <c r="E144" s="24" t="str">
        <f>INDEX(Resumes!$G$2:$G$101,MATCH(A144,Resumes!$A$2:$A$101,0))</f>
        <v>HR analytics, demand forecasting, SQL, Power BI, financial modelling</v>
      </c>
      <c r="F144" s="24" t="str">
        <f>INDEX(Resumes!$I$2:$I$101,MATCH(A144,Resumes!$A$2:$A$101,0))</f>
        <v>Farhan Patil, BBA from a tier-2 institute. 3.0 years of experience, most recently at a manufacturing company. Key skills: HR analytics, demand forecasting, SQL, Power BI, financial modelling. Achievement: built a Power BI sales dashboard used by 30 managers. Career gap: None.</v>
      </c>
      <c r="G144" s="24" t="str">
        <f t="shared" si="44"/>
        <v>built a Power BI sales dashboard used by 30 managers</v>
      </c>
      <c r="H144" s="24">
        <f>INDEX('Scoring Prompt'!$C$22:$C$23,MATCH(B144,'Scoring Prompt'!$A$22:$A$23,0))</f>
        <v>3</v>
      </c>
      <c r="I144" s="24">
        <f>INDEX('Scoring Prompt'!$D$22:$D$23,MATCH(B144,'Scoring Prompt'!$A$22:$A$23,0))</f>
        <v>6</v>
      </c>
      <c r="J144" s="24">
        <f>INDEX('Scoring Prompt'!$B$27:$C$34,MATCH(C144,'Scoring Prompt'!$A$27:$A$34,0),MATCH(B144,'Scoring Prompt'!$B$26:$C$26,0))</f>
        <v>5</v>
      </c>
      <c r="K144" s="24">
        <f>IF(AND(D144&gt;=H144,D144&lt;=I144),'Scoring Prompt'!$B$47,IF(D144&lt;H144,IF(H144-D144&lt;=1,'Scoring Prompt'!$B$48,IF(H144-D144&lt;=2,'Scoring Prompt'!$B$49,'Scoring Prompt'!$B$50)),IF(D144-I144&lt;=2,'Scoring Prompt'!$B$51,'Scoring Prompt'!$B$52)))</f>
        <v>25</v>
      </c>
      <c r="L144" s="24">
        <f>IF(B144="JD3",SUMPRODUCT(--ISNUMBER(SEARCH('Scoring Prompt'!$E$22:$I$22,E144))),SUMPRODUCT(--ISNUMBER(SEARCH('Scoring Prompt'!$E$23:$I$23,E144))))</f>
        <v>1</v>
      </c>
      <c r="M144" s="24">
        <f t="shared" si="45"/>
        <v>8</v>
      </c>
      <c r="N144" s="24">
        <f>INDEX('Scoring Prompt'!$B$38:$C$43,MATCH(G144,'Scoring Prompt'!$A$38:$A$43,0),MATCH(B144,'Scoring Prompt'!$B$37:$C$37,0))</f>
        <v>7</v>
      </c>
      <c r="O144" s="24">
        <f t="shared" si="46"/>
        <v>45</v>
      </c>
      <c r="P144" s="24">
        <f>'Scored Shortlist'!E144</f>
        <v>5</v>
      </c>
      <c r="Q144" s="24">
        <f>'Scored Shortlist'!F144</f>
        <v>25</v>
      </c>
      <c r="R144" s="24">
        <f>'Scored Shortlist'!G144</f>
        <v>8</v>
      </c>
      <c r="S144" s="24">
        <f>'Scored Shortlist'!H144</f>
        <v>7</v>
      </c>
      <c r="T144" s="24">
        <f>'Scored Shortlist'!I144</f>
        <v>45</v>
      </c>
      <c r="U144" s="24">
        <f>IF('Scored Shortlist'!M144="none",0,(LEN('Scored Shortlist'!M144)-LEN(SUBSTITUTE('Scored Shortlist'!M144,"&lt;-","")))/2)</f>
        <v>0</v>
      </c>
      <c r="V144" s="24">
        <f t="shared" si="47"/>
        <v>1</v>
      </c>
      <c r="W144" s="24">
        <f t="shared" si="48"/>
        <v>1</v>
      </c>
      <c r="X144" s="24">
        <f t="shared" si="49"/>
        <v>1</v>
      </c>
      <c r="Y144" s="24">
        <f t="shared" si="50"/>
        <v>0</v>
      </c>
      <c r="Z144" s="24">
        <f t="shared" si="51"/>
        <v>0</v>
      </c>
      <c r="AA144" s="24">
        <f t="shared" si="52"/>
        <v>1</v>
      </c>
      <c r="AB144" s="25" t="str">
        <f t="shared" si="53"/>
        <v>OK</v>
      </c>
      <c r="AC144" s="24" t="str">
        <f t="shared" si="54"/>
        <v>Not shortlisted</v>
      </c>
      <c r="AD144" s="24" t="str">
        <f>IF(ISNUMBER(SEARCH(" "&amp;LEFT('Scored Shortlist'!B144,FIND(" ",'Scored Shortlist'!B144)-1)&amp;" "," "&amp;'Scored Shortlist'!N144&amp;" ")),"YES","no")</f>
        <v>no</v>
      </c>
    </row>
    <row r="145" spans="1:30" x14ac:dyDescent="0.25">
      <c r="A145" s="24" t="str">
        <f>'Scored Shortlist'!A145</f>
        <v>CV014</v>
      </c>
      <c r="B145" s="24" t="str">
        <f>'Scored Shortlist'!C145</f>
        <v>JD5</v>
      </c>
      <c r="C145" s="24" t="str">
        <f>INDEX(Resumes!$D$2:$D$101,MATCH(A145,Resumes!$A$2:$A$101,0))</f>
        <v>B.Com</v>
      </c>
      <c r="D145" s="24">
        <f>INDEX(Resumes!$E$2:$E$101,MATCH(A145,Resumes!$A$2:$A$101,0))</f>
        <v>5.8</v>
      </c>
      <c r="E145" s="24" t="str">
        <f>INDEX(Resumes!$G$2:$G$101,MATCH(A145,Resumes!$A$2:$A$101,0))</f>
        <v>content writing, campaign management, recruitment, Tableau, negotiation, stakeholder management, UPI/payments, labour law</v>
      </c>
      <c r="F145" s="24" t="str">
        <f>INDEX(Resumes!$I$2:$I$101,MATCH(A145,Resumes!$A$2:$A$101,0))</f>
        <v>Swati Singh, B.Com from a tier-3 institute. 5.8 years of experience, most recently at a retail chain. Key skills: content writing, campaign management, recruitment, Tableau, negotiation, stakeholder management, UPI/payments, labour law. Achievement: built a Power BI sales dashboard used by 30 managers. Career gap: None.</v>
      </c>
      <c r="G145" s="24" t="str">
        <f t="shared" si="44"/>
        <v>built a Power BI sales dashboard used by 30 managers</v>
      </c>
      <c r="H145" s="24">
        <f>INDEX('Scoring Prompt'!$C$22:$C$23,MATCH(B145,'Scoring Prompt'!$A$22:$A$23,0))</f>
        <v>3</v>
      </c>
      <c r="I145" s="24">
        <f>INDEX('Scoring Prompt'!$D$22:$D$23,MATCH(B145,'Scoring Prompt'!$A$22:$A$23,0))</f>
        <v>6</v>
      </c>
      <c r="J145" s="24">
        <f>INDEX('Scoring Prompt'!$B$27:$C$34,MATCH(C145,'Scoring Prompt'!$A$27:$A$34,0),MATCH(B145,'Scoring Prompt'!$B$26:$C$26,0))</f>
        <v>5</v>
      </c>
      <c r="K145" s="24">
        <f>IF(AND(D145&gt;=H145,D145&lt;=I145),'Scoring Prompt'!$B$47,IF(D145&lt;H145,IF(H145-D145&lt;=1,'Scoring Prompt'!$B$48,IF(H145-D145&lt;=2,'Scoring Prompt'!$B$49,'Scoring Prompt'!$B$50)),IF(D145-I145&lt;=2,'Scoring Prompt'!$B$51,'Scoring Prompt'!$B$52)))</f>
        <v>25</v>
      </c>
      <c r="L145" s="24">
        <f>IF(B145="JD3",SUMPRODUCT(--ISNUMBER(SEARCH('Scoring Prompt'!$E$22:$I$22,E145))),SUMPRODUCT(--ISNUMBER(SEARCH('Scoring Prompt'!$E$23:$I$23,E145))))</f>
        <v>1</v>
      </c>
      <c r="M145" s="24">
        <f t="shared" si="45"/>
        <v>8</v>
      </c>
      <c r="N145" s="24">
        <f>INDEX('Scoring Prompt'!$B$38:$C$43,MATCH(G145,'Scoring Prompt'!$A$38:$A$43,0),MATCH(B145,'Scoring Prompt'!$B$37:$C$37,0))</f>
        <v>7</v>
      </c>
      <c r="O145" s="24">
        <f t="shared" si="46"/>
        <v>45</v>
      </c>
      <c r="P145" s="24">
        <f>'Scored Shortlist'!E145</f>
        <v>5</v>
      </c>
      <c r="Q145" s="24">
        <f>'Scored Shortlist'!F145</f>
        <v>25</v>
      </c>
      <c r="R145" s="24">
        <f>'Scored Shortlist'!G145</f>
        <v>8</v>
      </c>
      <c r="S145" s="24">
        <f>'Scored Shortlist'!H145</f>
        <v>7</v>
      </c>
      <c r="T145" s="24">
        <f>'Scored Shortlist'!I145</f>
        <v>45</v>
      </c>
      <c r="U145" s="24">
        <f>IF('Scored Shortlist'!M145="none",0,(LEN('Scored Shortlist'!M145)-LEN(SUBSTITUTE('Scored Shortlist'!M145,"&lt;-","")))/2)</f>
        <v>0</v>
      </c>
      <c r="V145" s="24">
        <f t="shared" si="47"/>
        <v>1</v>
      </c>
      <c r="W145" s="24">
        <f t="shared" si="48"/>
        <v>1</v>
      </c>
      <c r="X145" s="24">
        <f t="shared" si="49"/>
        <v>1</v>
      </c>
      <c r="Y145" s="24">
        <f t="shared" si="50"/>
        <v>0</v>
      </c>
      <c r="Z145" s="24">
        <f t="shared" si="51"/>
        <v>0</v>
      </c>
      <c r="AA145" s="24">
        <f t="shared" si="52"/>
        <v>1</v>
      </c>
      <c r="AB145" s="25" t="str">
        <f t="shared" si="53"/>
        <v>OK</v>
      </c>
      <c r="AC145" s="24" t="str">
        <f t="shared" si="54"/>
        <v>Not shortlisted</v>
      </c>
      <c r="AD145" s="24" t="str">
        <f>IF(ISNUMBER(SEARCH(" "&amp;LEFT('Scored Shortlist'!B145,FIND(" ",'Scored Shortlist'!B145)-1)&amp;" "," "&amp;'Scored Shortlist'!N145&amp;" ")),"YES","no")</f>
        <v>no</v>
      </c>
    </row>
    <row r="146" spans="1:30" x14ac:dyDescent="0.25">
      <c r="A146" s="24" t="str">
        <f>'Scored Shortlist'!A146</f>
        <v>CV038</v>
      </c>
      <c r="B146" s="24" t="str">
        <f>'Scored Shortlist'!C146</f>
        <v>JD5</v>
      </c>
      <c r="C146" s="24" t="str">
        <f>INDEX(Resumes!$D$2:$D$101,MATCH(A146,Resumes!$A$2:$A$101,0))</f>
        <v>B.Com</v>
      </c>
      <c r="D146" s="24">
        <f>INDEX(Resumes!$E$2:$E$101,MATCH(A146,Resumes!$A$2:$A$101,0))</f>
        <v>4.0999999999999996</v>
      </c>
      <c r="E146" s="24" t="str">
        <f>INDEX(Resumes!$G$2:$G$101,MATCH(A146,Resumes!$A$2:$A$101,0))</f>
        <v>inventory planning, vendor management, public speaking, employee relations, A/B testing, user research, labour law, HR analytics</v>
      </c>
      <c r="F146" s="24" t="str">
        <f>INDEX(Resumes!$I$2:$I$101,MATCH(A146,Resumes!$A$2:$A$101,0))</f>
        <v>Gurpreet D'Souza, B.Com from a tier-2 institute. 4.1 years of experience, most recently at a manufacturing company. Key skills: inventory planning, vendor management, public speaking, employee relations, A/B testing, user research, labour law, HR analytics. Achievement: built a Power BI sales dashboard used by 30 managers. Career gap: 1-year career break (family).</v>
      </c>
      <c r="G146" s="24" t="str">
        <f t="shared" si="44"/>
        <v>built a Power BI sales dashboard used by 30 managers</v>
      </c>
      <c r="H146" s="24">
        <f>INDEX('Scoring Prompt'!$C$22:$C$23,MATCH(B146,'Scoring Prompt'!$A$22:$A$23,0))</f>
        <v>3</v>
      </c>
      <c r="I146" s="24">
        <f>INDEX('Scoring Prompt'!$D$22:$D$23,MATCH(B146,'Scoring Prompt'!$A$22:$A$23,0))</f>
        <v>6</v>
      </c>
      <c r="J146" s="24">
        <f>INDEX('Scoring Prompt'!$B$27:$C$34,MATCH(C146,'Scoring Prompt'!$A$27:$A$34,0),MATCH(B146,'Scoring Prompt'!$B$26:$C$26,0))</f>
        <v>5</v>
      </c>
      <c r="K146" s="24">
        <f>IF(AND(D146&gt;=H146,D146&lt;=I146),'Scoring Prompt'!$B$47,IF(D146&lt;H146,IF(H146-D146&lt;=1,'Scoring Prompt'!$B$48,IF(H146-D146&lt;=2,'Scoring Prompt'!$B$49,'Scoring Prompt'!$B$50)),IF(D146-I146&lt;=2,'Scoring Prompt'!$B$51,'Scoring Prompt'!$B$52)))</f>
        <v>25</v>
      </c>
      <c r="L146" s="24">
        <f>IF(B146="JD3",SUMPRODUCT(--ISNUMBER(SEARCH('Scoring Prompt'!$E$22:$I$22,E146))),SUMPRODUCT(--ISNUMBER(SEARCH('Scoring Prompt'!$E$23:$I$23,E146))))</f>
        <v>1</v>
      </c>
      <c r="M146" s="24">
        <f t="shared" si="45"/>
        <v>8</v>
      </c>
      <c r="N146" s="24">
        <f>INDEX('Scoring Prompt'!$B$38:$C$43,MATCH(G146,'Scoring Prompt'!$A$38:$A$43,0),MATCH(B146,'Scoring Prompt'!$B$37:$C$37,0))</f>
        <v>7</v>
      </c>
      <c r="O146" s="24">
        <f t="shared" si="46"/>
        <v>45</v>
      </c>
      <c r="P146" s="24">
        <f>'Scored Shortlist'!E146</f>
        <v>5</v>
      </c>
      <c r="Q146" s="24">
        <f>'Scored Shortlist'!F146</f>
        <v>25</v>
      </c>
      <c r="R146" s="24">
        <f>'Scored Shortlist'!G146</f>
        <v>8</v>
      </c>
      <c r="S146" s="24">
        <f>'Scored Shortlist'!H146</f>
        <v>7</v>
      </c>
      <c r="T146" s="24">
        <f>'Scored Shortlist'!I146</f>
        <v>45</v>
      </c>
      <c r="U146" s="24">
        <f>IF('Scored Shortlist'!M146="none",0,(LEN('Scored Shortlist'!M146)-LEN(SUBSTITUTE('Scored Shortlist'!M146,"&lt;-","")))/2)</f>
        <v>0</v>
      </c>
      <c r="V146" s="24">
        <f t="shared" si="47"/>
        <v>1</v>
      </c>
      <c r="W146" s="24">
        <f t="shared" si="48"/>
        <v>1</v>
      </c>
      <c r="X146" s="24">
        <f t="shared" si="49"/>
        <v>1</v>
      </c>
      <c r="Y146" s="24">
        <f t="shared" si="50"/>
        <v>0</v>
      </c>
      <c r="Z146" s="24">
        <f t="shared" si="51"/>
        <v>0</v>
      </c>
      <c r="AA146" s="24">
        <f t="shared" si="52"/>
        <v>1</v>
      </c>
      <c r="AB146" s="25" t="str">
        <f t="shared" si="53"/>
        <v>OK</v>
      </c>
      <c r="AC146" s="24" t="str">
        <f t="shared" si="54"/>
        <v>Not shortlisted</v>
      </c>
      <c r="AD146" s="24" t="str">
        <f>IF(ISNUMBER(SEARCH(" "&amp;LEFT('Scored Shortlist'!B146,FIND(" ",'Scored Shortlist'!B146)-1)&amp;" "," "&amp;'Scored Shortlist'!N146&amp;" ")),"YES","no")</f>
        <v>no</v>
      </c>
    </row>
    <row r="147" spans="1:30" x14ac:dyDescent="0.25">
      <c r="A147" s="24" t="str">
        <f>'Scored Shortlist'!A147</f>
        <v>CV058</v>
      </c>
      <c r="B147" s="24" t="str">
        <f>'Scored Shortlist'!C147</f>
        <v>JD5</v>
      </c>
      <c r="C147" s="24" t="str">
        <f>INDEX(Resumes!$D$2:$D$101,MATCH(A147,Resumes!$A$2:$A$101,0))</f>
        <v>MBA Operations</v>
      </c>
      <c r="D147" s="24">
        <f>INDEX(Resumes!$E$2:$E$101,MATCH(A147,Resumes!$A$2:$A$101,0))</f>
        <v>8.9</v>
      </c>
      <c r="E147" s="24" t="str">
        <f>INDEX(Resumes!$G$2:$G$101,MATCH(A147,Resumes!$A$2:$A$101,0))</f>
        <v>SAP MM, agile, A/B testing, Tableau, Power BI, stakeholder management, negotiation, SEO</v>
      </c>
      <c r="F147" s="24" t="str">
        <f>INDEX(Resumes!$I$2:$I$101,MATCH(A147,Resumes!$A$2:$A$101,0))</f>
        <v>Ritu Pawar, MBA Operations from a tier-3 institute. 8.9 years of experience, most recently at a consulting firm. Key skills: SAP MM, agile, A/B testing, Tableau, Power BI, stakeholder management, negotiation, SEO. Achievement: cut reporting time by 40% by automating Excel reports. Career gap: None.</v>
      </c>
      <c r="G147" s="24" t="str">
        <f t="shared" si="44"/>
        <v>cut reporting time by 40% by automating Excel reports</v>
      </c>
      <c r="H147" s="24">
        <f>INDEX('Scoring Prompt'!$C$22:$C$23,MATCH(B147,'Scoring Prompt'!$A$22:$A$23,0))</f>
        <v>3</v>
      </c>
      <c r="I147" s="24">
        <f>INDEX('Scoring Prompt'!$D$22:$D$23,MATCH(B147,'Scoring Prompt'!$A$22:$A$23,0))</f>
        <v>6</v>
      </c>
      <c r="J147" s="24">
        <f>INDEX('Scoring Prompt'!$B$27:$C$34,MATCH(C147,'Scoring Prompt'!$A$27:$A$34,0),MATCH(B147,'Scoring Prompt'!$B$26:$C$26,0))</f>
        <v>15</v>
      </c>
      <c r="K147" s="24">
        <f>IF(AND(D147&gt;=H147,D147&lt;=I147),'Scoring Prompt'!$B$47,IF(D147&lt;H147,IF(H147-D147&lt;=1,'Scoring Prompt'!$B$48,IF(H147-D147&lt;=2,'Scoring Prompt'!$B$49,'Scoring Prompt'!$B$50)),IF(D147-I147&lt;=2,'Scoring Prompt'!$B$51,'Scoring Prompt'!$B$52)))</f>
        <v>12</v>
      </c>
      <c r="L147" s="24">
        <f>IF(B147="JD3",SUMPRODUCT(--ISNUMBER(SEARCH('Scoring Prompt'!$E$22:$I$22,E147))),SUMPRODUCT(--ISNUMBER(SEARCH('Scoring Prompt'!$E$23:$I$23,E147))))</f>
        <v>1</v>
      </c>
      <c r="M147" s="24">
        <f t="shared" si="45"/>
        <v>8</v>
      </c>
      <c r="N147" s="24">
        <f>INDEX('Scoring Prompt'!$B$38:$C$43,MATCH(G147,'Scoring Prompt'!$A$38:$A$43,0),MATCH(B147,'Scoring Prompt'!$B$37:$C$37,0))</f>
        <v>6</v>
      </c>
      <c r="O147" s="24">
        <f t="shared" si="46"/>
        <v>41</v>
      </c>
      <c r="P147" s="24">
        <f>'Scored Shortlist'!E147</f>
        <v>15</v>
      </c>
      <c r="Q147" s="24">
        <f>'Scored Shortlist'!F147</f>
        <v>12</v>
      </c>
      <c r="R147" s="24">
        <f>'Scored Shortlist'!G147</f>
        <v>12</v>
      </c>
      <c r="S147" s="24">
        <f>'Scored Shortlist'!H147</f>
        <v>6</v>
      </c>
      <c r="T147" s="24">
        <f>'Scored Shortlist'!I147</f>
        <v>45</v>
      </c>
      <c r="U147" s="24">
        <f>IF('Scored Shortlist'!M147="none",0,(LEN('Scored Shortlist'!M147)-LEN(SUBSTITUTE('Scored Shortlist'!M147,"&lt;-","")))/2)</f>
        <v>1</v>
      </c>
      <c r="V147" s="24">
        <f t="shared" si="47"/>
        <v>1</v>
      </c>
      <c r="W147" s="24">
        <f t="shared" si="48"/>
        <v>1</v>
      </c>
      <c r="X147" s="24">
        <f t="shared" si="49"/>
        <v>1</v>
      </c>
      <c r="Y147" s="24">
        <f t="shared" si="50"/>
        <v>4</v>
      </c>
      <c r="Z147" s="24">
        <f t="shared" si="51"/>
        <v>4</v>
      </c>
      <c r="AA147" s="24">
        <f t="shared" si="52"/>
        <v>1</v>
      </c>
      <c r="AB147" s="25" t="str">
        <f t="shared" si="53"/>
        <v>OK</v>
      </c>
      <c r="AC147" s="24" t="str">
        <f t="shared" si="54"/>
        <v>Not shortlisted</v>
      </c>
      <c r="AD147" s="24" t="str">
        <f>IF(ISNUMBER(SEARCH(" "&amp;LEFT('Scored Shortlist'!B147,FIND(" ",'Scored Shortlist'!B147)-1)&amp;" "," "&amp;'Scored Shortlist'!N147&amp;" ")),"YES","no")</f>
        <v>no</v>
      </c>
    </row>
    <row r="148" spans="1:30" x14ac:dyDescent="0.25">
      <c r="A148" s="24" t="str">
        <f>'Scored Shortlist'!A148</f>
        <v>CV032</v>
      </c>
      <c r="B148" s="24" t="str">
        <f>'Scored Shortlist'!C148</f>
        <v>JD5</v>
      </c>
      <c r="C148" s="24" t="str">
        <f>INDEX(Resumes!$D$2:$D$101,MATCH(A148,Resumes!$A$2:$A$101,0))</f>
        <v>MBA HR</v>
      </c>
      <c r="D148" s="24">
        <f>INDEX(Resumes!$E$2:$E$101,MATCH(A148,Resumes!$A$2:$A$101,0))</f>
        <v>2.2999999999999998</v>
      </c>
      <c r="E148" s="24" t="str">
        <f>INDEX(Resumes!$G$2:$G$101,MATCH(A148,Resumes!$A$2:$A$101,0))</f>
        <v>employee relations, agile, vendor management, SAP MM, Tableau</v>
      </c>
      <c r="F148" s="24" t="str">
        <f>INDEX(Resumes!$I$2:$I$101,MATCH(A148,Resumes!$A$2:$A$101,0))</f>
        <v>Isha Pillai, MBA HR from a tier-1 institute. 2.3 years of experience, most recently at an FMCG distributor. Key skills: employee relations, agile, vendor management, SAP MM, Tableau. Achievement: cut reporting time by 40% by automating Excel reports. Career gap: None.</v>
      </c>
      <c r="G148" s="24" t="str">
        <f t="shared" si="44"/>
        <v>cut reporting time by 40% by automating Excel reports</v>
      </c>
      <c r="H148" s="24">
        <f>INDEX('Scoring Prompt'!$C$22:$C$23,MATCH(B148,'Scoring Prompt'!$A$22:$A$23,0))</f>
        <v>3</v>
      </c>
      <c r="I148" s="24">
        <f>INDEX('Scoring Prompt'!$D$22:$D$23,MATCH(B148,'Scoring Prompt'!$A$22:$A$23,0))</f>
        <v>6</v>
      </c>
      <c r="J148" s="24">
        <f>INDEX('Scoring Prompt'!$B$27:$C$34,MATCH(C148,'Scoring Prompt'!$A$27:$A$34,0),MATCH(B148,'Scoring Prompt'!$B$26:$C$26,0))</f>
        <v>15</v>
      </c>
      <c r="K148" s="24">
        <f>IF(AND(D148&gt;=H148,D148&lt;=I148),'Scoring Prompt'!$B$47,IF(D148&lt;H148,IF(H148-D148&lt;=1,'Scoring Prompt'!$B$48,IF(H148-D148&lt;=2,'Scoring Prompt'!$B$49,'Scoring Prompt'!$B$50)),IF(D148-I148&lt;=2,'Scoring Prompt'!$B$51,'Scoring Prompt'!$B$52)))</f>
        <v>15</v>
      </c>
      <c r="L148" s="24">
        <f>IF(B148="JD3",SUMPRODUCT(--ISNUMBER(SEARCH('Scoring Prompt'!$E$22:$I$22,E148))),SUMPRODUCT(--ISNUMBER(SEARCH('Scoring Prompt'!$E$23:$I$23,E148))))</f>
        <v>1</v>
      </c>
      <c r="M148" s="24">
        <f t="shared" si="45"/>
        <v>8</v>
      </c>
      <c r="N148" s="24">
        <f>INDEX('Scoring Prompt'!$B$38:$C$43,MATCH(G148,'Scoring Prompt'!$A$38:$A$43,0),MATCH(B148,'Scoring Prompt'!$B$37:$C$37,0))</f>
        <v>6</v>
      </c>
      <c r="O148" s="24">
        <f t="shared" si="46"/>
        <v>44</v>
      </c>
      <c r="P148" s="24">
        <f>'Scored Shortlist'!E148</f>
        <v>15</v>
      </c>
      <c r="Q148" s="24">
        <f>'Scored Shortlist'!F148</f>
        <v>15</v>
      </c>
      <c r="R148" s="24">
        <f>'Scored Shortlist'!G148</f>
        <v>8</v>
      </c>
      <c r="S148" s="24">
        <f>'Scored Shortlist'!H148</f>
        <v>6</v>
      </c>
      <c r="T148" s="24">
        <f>'Scored Shortlist'!I148</f>
        <v>44</v>
      </c>
      <c r="U148" s="24">
        <f>IF('Scored Shortlist'!M148="none",0,(LEN('Scored Shortlist'!M148)-LEN(SUBSTITUTE('Scored Shortlist'!M148,"&lt;-","")))/2)</f>
        <v>0</v>
      </c>
      <c r="V148" s="24">
        <f t="shared" si="47"/>
        <v>1</v>
      </c>
      <c r="W148" s="24">
        <f t="shared" si="48"/>
        <v>1</v>
      </c>
      <c r="X148" s="24">
        <f t="shared" si="49"/>
        <v>1</v>
      </c>
      <c r="Y148" s="24">
        <f t="shared" si="50"/>
        <v>0</v>
      </c>
      <c r="Z148" s="24">
        <f t="shared" si="51"/>
        <v>0</v>
      </c>
      <c r="AA148" s="24">
        <f t="shared" si="52"/>
        <v>1</v>
      </c>
      <c r="AB148" s="25" t="str">
        <f t="shared" si="53"/>
        <v>OK</v>
      </c>
      <c r="AC148" s="24" t="str">
        <f t="shared" si="54"/>
        <v>Not shortlisted</v>
      </c>
      <c r="AD148" s="24" t="str">
        <f>IF(ISNUMBER(SEARCH(" "&amp;LEFT('Scored Shortlist'!B148,FIND(" ",'Scored Shortlist'!B148)-1)&amp;" "," "&amp;'Scored Shortlist'!N148&amp;" ")),"YES","no")</f>
        <v>no</v>
      </c>
    </row>
    <row r="149" spans="1:30" x14ac:dyDescent="0.25">
      <c r="A149" s="24" t="str">
        <f>'Scored Shortlist'!A149</f>
        <v>CV092</v>
      </c>
      <c r="B149" s="24" t="str">
        <f>'Scored Shortlist'!C149</f>
        <v>JD5</v>
      </c>
      <c r="C149" s="24" t="str">
        <f>INDEX(Resumes!$D$2:$D$101,MATCH(A149,Resumes!$A$2:$A$101,0))</f>
        <v>CA</v>
      </c>
      <c r="D149" s="24">
        <f>INDEX(Resumes!$E$2:$E$101,MATCH(A149,Resumes!$A$2:$A$101,0))</f>
        <v>7.5</v>
      </c>
      <c r="E149" s="24" t="str">
        <f>INDEX(Resumes!$G$2:$G$101,MATCH(A149,Resumes!$A$2:$A$101,0))</f>
        <v>valuation, UPI/payments, campaign management, stakeholder management, SQL, Google Analytics</v>
      </c>
      <c r="F149" s="24" t="str">
        <f>INDEX(Resumes!$I$2:$I$101,MATCH(A149,Resumes!$A$2:$A$101,0))</f>
        <v>Aisha Gupta, CA from a tier-1 institute. 7.5 years of experience, most recently at an FMCG distributor. Key skills: valuation, UPI/payments, campaign management, stakeholder management, SQL, Google Analytics. Achievement: handled 120 hires in one year. Career gap: None.</v>
      </c>
      <c r="G149" s="24" t="str">
        <f t="shared" si="44"/>
        <v>handled 120 hires in one year</v>
      </c>
      <c r="H149" s="24">
        <f>INDEX('Scoring Prompt'!$C$22:$C$23,MATCH(B149,'Scoring Prompt'!$A$22:$A$23,0))</f>
        <v>3</v>
      </c>
      <c r="I149" s="24">
        <f>INDEX('Scoring Prompt'!$D$22:$D$23,MATCH(B149,'Scoring Prompt'!$A$22:$A$23,0))</f>
        <v>6</v>
      </c>
      <c r="J149" s="24">
        <f>INDEX('Scoring Prompt'!$B$27:$C$34,MATCH(C149,'Scoring Prompt'!$A$27:$A$34,0),MATCH(B149,'Scoring Prompt'!$B$26:$C$26,0))</f>
        <v>5</v>
      </c>
      <c r="K149" s="24">
        <f>IF(AND(D149&gt;=H149,D149&lt;=I149),'Scoring Prompt'!$B$47,IF(D149&lt;H149,IF(H149-D149&lt;=1,'Scoring Prompt'!$B$48,IF(H149-D149&lt;=2,'Scoring Prompt'!$B$49,'Scoring Prompt'!$B$50)),IF(D149-I149&lt;=2,'Scoring Prompt'!$B$51,'Scoring Prompt'!$B$52)))</f>
        <v>20</v>
      </c>
      <c r="L149" s="24">
        <f>IF(B149="JD3",SUMPRODUCT(--ISNUMBER(SEARCH('Scoring Prompt'!$E$22:$I$22,E149))),SUMPRODUCT(--ISNUMBER(SEARCH('Scoring Prompt'!$E$23:$I$23,E149))))</f>
        <v>2</v>
      </c>
      <c r="M149" s="24">
        <f t="shared" si="45"/>
        <v>16</v>
      </c>
      <c r="N149" s="24">
        <f>INDEX('Scoring Prompt'!$B$38:$C$43,MATCH(G149,'Scoring Prompt'!$A$38:$A$43,0),MATCH(B149,'Scoring Prompt'!$B$37:$C$37,0))</f>
        <v>3</v>
      </c>
      <c r="O149" s="24">
        <f t="shared" si="46"/>
        <v>44</v>
      </c>
      <c r="P149" s="24">
        <f>'Scored Shortlist'!E149</f>
        <v>5</v>
      </c>
      <c r="Q149" s="24">
        <f>'Scored Shortlist'!F149</f>
        <v>20</v>
      </c>
      <c r="R149" s="24">
        <f>'Scored Shortlist'!G149</f>
        <v>16</v>
      </c>
      <c r="S149" s="24">
        <f>'Scored Shortlist'!H149</f>
        <v>3</v>
      </c>
      <c r="T149" s="24">
        <f>'Scored Shortlist'!I149</f>
        <v>44</v>
      </c>
      <c r="U149" s="24">
        <f>IF('Scored Shortlist'!M149="none",0,(LEN('Scored Shortlist'!M149)-LEN(SUBSTITUTE('Scored Shortlist'!M149,"&lt;-","")))/2)</f>
        <v>0</v>
      </c>
      <c r="V149" s="24">
        <f t="shared" si="47"/>
        <v>1</v>
      </c>
      <c r="W149" s="24">
        <f t="shared" si="48"/>
        <v>1</v>
      </c>
      <c r="X149" s="24">
        <f t="shared" si="49"/>
        <v>1</v>
      </c>
      <c r="Y149" s="24">
        <f t="shared" si="50"/>
        <v>0</v>
      </c>
      <c r="Z149" s="24">
        <f t="shared" si="51"/>
        <v>0</v>
      </c>
      <c r="AA149" s="24">
        <f t="shared" si="52"/>
        <v>1</v>
      </c>
      <c r="AB149" s="25" t="str">
        <f t="shared" si="53"/>
        <v>OK</v>
      </c>
      <c r="AC149" s="24" t="str">
        <f t="shared" si="54"/>
        <v>Not shortlisted</v>
      </c>
      <c r="AD149" s="24" t="str">
        <f>IF(ISNUMBER(SEARCH(" "&amp;LEFT('Scored Shortlist'!B149,FIND(" ",'Scored Shortlist'!B149)-1)&amp;" "," "&amp;'Scored Shortlist'!N149&amp;" ")),"YES","no")</f>
        <v>no</v>
      </c>
    </row>
    <row r="150" spans="1:30" x14ac:dyDescent="0.25">
      <c r="A150" s="24" t="str">
        <f>'Scored Shortlist'!A150</f>
        <v>CV025</v>
      </c>
      <c r="B150" s="24" t="str">
        <f>'Scored Shortlist'!C150</f>
        <v>JD5</v>
      </c>
      <c r="C150" s="24" t="str">
        <f>INDEX(Resumes!$D$2:$D$101,MATCH(A150,Resumes!$A$2:$A$101,0))</f>
        <v>MBA Finance</v>
      </c>
      <c r="D150" s="24">
        <f>INDEX(Resumes!$E$2:$E$101,MATCH(A150,Resumes!$A$2:$A$101,0))</f>
        <v>5.5</v>
      </c>
      <c r="E150" s="24" t="str">
        <f>INDEX(Resumes!$G$2:$G$101,MATCH(A150,Resumes!$A$2:$A$101,0))</f>
        <v>recruitment, Tableau, financial modelling, inventory planning, vendor management, content writing, valuation, Python</v>
      </c>
      <c r="F150" s="24" t="str">
        <f>INDEX(Resumes!$I$2:$I$101,MATCH(A150,Resumes!$A$2:$A$101,0))</f>
        <v>Kavya Verma, MBA Finance from a tier-3 institute. 5.5 years of experience, most recently at a consulting firm. Key skills: recruitment, Tableau, financial modelling, inventory planning, vendor management, content writing, valuation, Python. Achievement: handled 120 hires in one year. Career gap: 6-month gap (exam preparation).</v>
      </c>
      <c r="G150" s="24" t="str">
        <f t="shared" si="44"/>
        <v>handled 120 hires in one year</v>
      </c>
      <c r="H150" s="24">
        <f>INDEX('Scoring Prompt'!$C$22:$C$23,MATCH(B150,'Scoring Prompt'!$A$22:$A$23,0))</f>
        <v>3</v>
      </c>
      <c r="I150" s="24">
        <f>INDEX('Scoring Prompt'!$D$22:$D$23,MATCH(B150,'Scoring Prompt'!$A$22:$A$23,0))</f>
        <v>6</v>
      </c>
      <c r="J150" s="24">
        <f>INDEX('Scoring Prompt'!$B$27:$C$34,MATCH(C150,'Scoring Prompt'!$A$27:$A$34,0),MATCH(B150,'Scoring Prompt'!$B$26:$C$26,0))</f>
        <v>15</v>
      </c>
      <c r="K150" s="24">
        <f>IF(AND(D150&gt;=H150,D150&lt;=I150),'Scoring Prompt'!$B$47,IF(D150&lt;H150,IF(H150-D150&lt;=1,'Scoring Prompt'!$B$48,IF(H150-D150&lt;=2,'Scoring Prompt'!$B$49,'Scoring Prompt'!$B$50)),IF(D150-I150&lt;=2,'Scoring Prompt'!$B$51,'Scoring Prompt'!$B$52)))</f>
        <v>25</v>
      </c>
      <c r="L150" s="24">
        <f>IF(B150="JD3",SUMPRODUCT(--ISNUMBER(SEARCH('Scoring Prompt'!$E$22:$I$22,E150))),SUMPRODUCT(--ISNUMBER(SEARCH('Scoring Prompt'!$E$23:$I$23,E150))))</f>
        <v>0</v>
      </c>
      <c r="M150" s="24">
        <f t="shared" si="45"/>
        <v>0</v>
      </c>
      <c r="N150" s="24">
        <f>INDEX('Scoring Prompt'!$B$38:$C$43,MATCH(G150,'Scoring Prompt'!$A$38:$A$43,0),MATCH(B150,'Scoring Prompt'!$B$37:$C$37,0))</f>
        <v>3</v>
      </c>
      <c r="O150" s="24">
        <f t="shared" si="46"/>
        <v>43</v>
      </c>
      <c r="P150" s="24">
        <f>'Scored Shortlist'!E150</f>
        <v>15</v>
      </c>
      <c r="Q150" s="24">
        <f>'Scored Shortlist'!F150</f>
        <v>25</v>
      </c>
      <c r="R150" s="24">
        <f>'Scored Shortlist'!G150</f>
        <v>0</v>
      </c>
      <c r="S150" s="24">
        <f>'Scored Shortlist'!H150</f>
        <v>3</v>
      </c>
      <c r="T150" s="24">
        <f>'Scored Shortlist'!I150</f>
        <v>43</v>
      </c>
      <c r="U150" s="24">
        <f>IF('Scored Shortlist'!M150="none",0,(LEN('Scored Shortlist'!M150)-LEN(SUBSTITUTE('Scored Shortlist'!M150,"&lt;-","")))/2)</f>
        <v>0</v>
      </c>
      <c r="V150" s="24">
        <f t="shared" si="47"/>
        <v>1</v>
      </c>
      <c r="W150" s="24">
        <f t="shared" si="48"/>
        <v>1</v>
      </c>
      <c r="X150" s="24">
        <f t="shared" si="49"/>
        <v>1</v>
      </c>
      <c r="Y150" s="24">
        <f t="shared" si="50"/>
        <v>0</v>
      </c>
      <c r="Z150" s="24">
        <f t="shared" si="51"/>
        <v>0</v>
      </c>
      <c r="AA150" s="24">
        <f t="shared" si="52"/>
        <v>1</v>
      </c>
      <c r="AB150" s="25" t="str">
        <f t="shared" si="53"/>
        <v>OK</v>
      </c>
      <c r="AC150" s="24" t="str">
        <f t="shared" si="54"/>
        <v>Not shortlisted</v>
      </c>
      <c r="AD150" s="24" t="str">
        <f>IF(ISNUMBER(SEARCH(" "&amp;LEFT('Scored Shortlist'!B150,FIND(" ",'Scored Shortlist'!B150)-1)&amp;" "," "&amp;'Scored Shortlist'!N150&amp;" ")),"YES","no")</f>
        <v>no</v>
      </c>
    </row>
    <row r="151" spans="1:30" x14ac:dyDescent="0.25">
      <c r="A151" s="24" t="str">
        <f>'Scored Shortlist'!A151</f>
        <v>CV029</v>
      </c>
      <c r="B151" s="24" t="str">
        <f>'Scored Shortlist'!C151</f>
        <v>JD5</v>
      </c>
      <c r="C151" s="24" t="str">
        <f>INDEX(Resumes!$D$2:$D$101,MATCH(A151,Resumes!$A$2:$A$101,0))</f>
        <v>MBA Marketing</v>
      </c>
      <c r="D151" s="24">
        <f>INDEX(Resumes!$E$2:$E$101,MATCH(A151,Resumes!$A$2:$A$101,0))</f>
        <v>5.4</v>
      </c>
      <c r="E151" s="24" t="str">
        <f>INDEX(Resumes!$G$2:$G$101,MATCH(A151,Resumes!$A$2:$A$101,0))</f>
        <v>Power BI, Python, HR analytics, vendor management, valuation, public speaking</v>
      </c>
      <c r="F151" s="24" t="str">
        <f>INDEX(Resumes!$I$2:$I$101,MATCH(A151,Resumes!$A$2:$A$101,0))</f>
        <v>Gurpreet Shah, MBA Marketing from a tier-1 institute. 5.4 years of experience, most recently at a consulting firm. Key skills: Power BI, Python, HR analytics, vendor management, valuation, public speaking. Achievement: handled 120 hires in one year. Career gap: None.</v>
      </c>
      <c r="G151" s="24" t="str">
        <f t="shared" si="44"/>
        <v>handled 120 hires in one year</v>
      </c>
      <c r="H151" s="24">
        <f>INDEX('Scoring Prompt'!$C$22:$C$23,MATCH(B151,'Scoring Prompt'!$A$22:$A$23,0))</f>
        <v>3</v>
      </c>
      <c r="I151" s="24">
        <f>INDEX('Scoring Prompt'!$D$22:$D$23,MATCH(B151,'Scoring Prompt'!$A$22:$A$23,0))</f>
        <v>6</v>
      </c>
      <c r="J151" s="24">
        <f>INDEX('Scoring Prompt'!$B$27:$C$34,MATCH(C151,'Scoring Prompt'!$A$27:$A$34,0),MATCH(B151,'Scoring Prompt'!$B$26:$C$26,0))</f>
        <v>15</v>
      </c>
      <c r="K151" s="24">
        <f>IF(AND(D151&gt;=H151,D151&lt;=I151),'Scoring Prompt'!$B$47,IF(D151&lt;H151,IF(H151-D151&lt;=1,'Scoring Prompt'!$B$48,IF(H151-D151&lt;=2,'Scoring Prompt'!$B$49,'Scoring Prompt'!$B$50)),IF(D151-I151&lt;=2,'Scoring Prompt'!$B$51,'Scoring Prompt'!$B$52)))</f>
        <v>25</v>
      </c>
      <c r="L151" s="24">
        <f>IF(B151="JD3",SUMPRODUCT(--ISNUMBER(SEARCH('Scoring Prompt'!$E$22:$I$22,E151))),SUMPRODUCT(--ISNUMBER(SEARCH('Scoring Prompt'!$E$23:$I$23,E151))))</f>
        <v>0</v>
      </c>
      <c r="M151" s="24">
        <f t="shared" si="45"/>
        <v>0</v>
      </c>
      <c r="N151" s="24">
        <f>INDEX('Scoring Prompt'!$B$38:$C$43,MATCH(G151,'Scoring Prompt'!$A$38:$A$43,0),MATCH(B151,'Scoring Prompt'!$B$37:$C$37,0))</f>
        <v>3</v>
      </c>
      <c r="O151" s="24">
        <f t="shared" si="46"/>
        <v>43</v>
      </c>
      <c r="P151" s="24">
        <f>'Scored Shortlist'!E151</f>
        <v>15</v>
      </c>
      <c r="Q151" s="24">
        <f>'Scored Shortlist'!F151</f>
        <v>25</v>
      </c>
      <c r="R151" s="24">
        <f>'Scored Shortlist'!G151</f>
        <v>0</v>
      </c>
      <c r="S151" s="24">
        <f>'Scored Shortlist'!H151</f>
        <v>3</v>
      </c>
      <c r="T151" s="24">
        <f>'Scored Shortlist'!I151</f>
        <v>43</v>
      </c>
      <c r="U151" s="24">
        <f>IF('Scored Shortlist'!M151="none",0,(LEN('Scored Shortlist'!M151)-LEN(SUBSTITUTE('Scored Shortlist'!M151,"&lt;-","")))/2)</f>
        <v>0</v>
      </c>
      <c r="V151" s="24">
        <f t="shared" si="47"/>
        <v>1</v>
      </c>
      <c r="W151" s="24">
        <f t="shared" si="48"/>
        <v>1</v>
      </c>
      <c r="X151" s="24">
        <f t="shared" si="49"/>
        <v>1</v>
      </c>
      <c r="Y151" s="24">
        <f t="shared" si="50"/>
        <v>0</v>
      </c>
      <c r="Z151" s="24">
        <f t="shared" si="51"/>
        <v>0</v>
      </c>
      <c r="AA151" s="24">
        <f t="shared" si="52"/>
        <v>1</v>
      </c>
      <c r="AB151" s="25" t="str">
        <f t="shared" si="53"/>
        <v>OK</v>
      </c>
      <c r="AC151" s="24" t="str">
        <f t="shared" si="54"/>
        <v>Not shortlisted</v>
      </c>
      <c r="AD151" s="24" t="str">
        <f>IF(ISNUMBER(SEARCH(" "&amp;LEFT('Scored Shortlist'!B151,FIND(" ",'Scored Shortlist'!B151)-1)&amp;" "," "&amp;'Scored Shortlist'!N151&amp;" ")),"YES","no")</f>
        <v>no</v>
      </c>
    </row>
    <row r="152" spans="1:30" x14ac:dyDescent="0.25">
      <c r="A152" s="24" t="str">
        <f>'Scored Shortlist'!A152</f>
        <v>CV042</v>
      </c>
      <c r="B152" s="24" t="str">
        <f>'Scored Shortlist'!C152</f>
        <v>JD5</v>
      </c>
      <c r="C152" s="24" t="str">
        <f>INDEX(Resumes!$D$2:$D$101,MATCH(A152,Resumes!$A$2:$A$101,0))</f>
        <v>MBA Operations</v>
      </c>
      <c r="D152" s="24">
        <f>INDEX(Resumes!$E$2:$E$101,MATCH(A152,Resumes!$A$2:$A$101,0))</f>
        <v>5.5</v>
      </c>
      <c r="E152" s="24" t="str">
        <f>INDEX(Resumes!$G$2:$G$101,MATCH(A152,Resumes!$A$2:$A$101,0))</f>
        <v>inventory planning, financial modelling, stakeholder management, Python</v>
      </c>
      <c r="F152" s="24" t="str">
        <f>INDEX(Resumes!$I$2:$I$101,MATCH(A152,Resumes!$A$2:$A$101,0))</f>
        <v>Diya Fernandes, MBA Operations from a tier-2 institute. 5.5 years of experience, most recently at a manufacturing company. Key skills: inventory planning, financial modelling, stakeholder management, Python. Achievement: handled 120 hires in one year. Career gap: None.</v>
      </c>
      <c r="G152" s="24" t="str">
        <f t="shared" si="44"/>
        <v>handled 120 hires in one year</v>
      </c>
      <c r="H152" s="24">
        <f>INDEX('Scoring Prompt'!$C$22:$C$23,MATCH(B152,'Scoring Prompt'!$A$22:$A$23,0))</f>
        <v>3</v>
      </c>
      <c r="I152" s="24">
        <f>INDEX('Scoring Prompt'!$D$22:$D$23,MATCH(B152,'Scoring Prompt'!$A$22:$A$23,0))</f>
        <v>6</v>
      </c>
      <c r="J152" s="24">
        <f>INDEX('Scoring Prompt'!$B$27:$C$34,MATCH(C152,'Scoring Prompt'!$A$27:$A$34,0),MATCH(B152,'Scoring Prompt'!$B$26:$C$26,0))</f>
        <v>15</v>
      </c>
      <c r="K152" s="24">
        <f>IF(AND(D152&gt;=H152,D152&lt;=I152),'Scoring Prompt'!$B$47,IF(D152&lt;H152,IF(H152-D152&lt;=1,'Scoring Prompt'!$B$48,IF(H152-D152&lt;=2,'Scoring Prompt'!$B$49,'Scoring Prompt'!$B$50)),IF(D152-I152&lt;=2,'Scoring Prompt'!$B$51,'Scoring Prompt'!$B$52)))</f>
        <v>25</v>
      </c>
      <c r="L152" s="24">
        <f>IF(B152="JD3",SUMPRODUCT(--ISNUMBER(SEARCH('Scoring Prompt'!$E$22:$I$22,E152))),SUMPRODUCT(--ISNUMBER(SEARCH('Scoring Prompt'!$E$23:$I$23,E152))))</f>
        <v>0</v>
      </c>
      <c r="M152" s="24">
        <f t="shared" si="45"/>
        <v>0</v>
      </c>
      <c r="N152" s="24">
        <f>INDEX('Scoring Prompt'!$B$38:$C$43,MATCH(G152,'Scoring Prompt'!$A$38:$A$43,0),MATCH(B152,'Scoring Prompt'!$B$37:$C$37,0))</f>
        <v>3</v>
      </c>
      <c r="O152" s="24">
        <f t="shared" si="46"/>
        <v>43</v>
      </c>
      <c r="P152" s="24">
        <f>'Scored Shortlist'!E152</f>
        <v>15</v>
      </c>
      <c r="Q152" s="24">
        <f>'Scored Shortlist'!F152</f>
        <v>25</v>
      </c>
      <c r="R152" s="24">
        <f>'Scored Shortlist'!G152</f>
        <v>0</v>
      </c>
      <c r="S152" s="24">
        <f>'Scored Shortlist'!H152</f>
        <v>3</v>
      </c>
      <c r="T152" s="24">
        <f>'Scored Shortlist'!I152</f>
        <v>43</v>
      </c>
      <c r="U152" s="24">
        <f>IF('Scored Shortlist'!M152="none",0,(LEN('Scored Shortlist'!M152)-LEN(SUBSTITUTE('Scored Shortlist'!M152,"&lt;-","")))/2)</f>
        <v>0</v>
      </c>
      <c r="V152" s="24">
        <f t="shared" si="47"/>
        <v>1</v>
      </c>
      <c r="W152" s="24">
        <f t="shared" si="48"/>
        <v>1</v>
      </c>
      <c r="X152" s="24">
        <f t="shared" si="49"/>
        <v>1</v>
      </c>
      <c r="Y152" s="24">
        <f t="shared" si="50"/>
        <v>0</v>
      </c>
      <c r="Z152" s="24">
        <f t="shared" si="51"/>
        <v>0</v>
      </c>
      <c r="AA152" s="24">
        <f t="shared" si="52"/>
        <v>1</v>
      </c>
      <c r="AB152" s="25" t="str">
        <f t="shared" si="53"/>
        <v>OK</v>
      </c>
      <c r="AC152" s="24" t="str">
        <f t="shared" si="54"/>
        <v>Not shortlisted</v>
      </c>
      <c r="AD152" s="24" t="str">
        <f>IF(ISNUMBER(SEARCH(" "&amp;LEFT('Scored Shortlist'!B152,FIND(" ",'Scored Shortlist'!B152)-1)&amp;" "," "&amp;'Scored Shortlist'!N152&amp;" ")),"YES","no")</f>
        <v>no</v>
      </c>
    </row>
    <row r="153" spans="1:30" x14ac:dyDescent="0.25">
      <c r="A153" s="24" t="str">
        <f>'Scored Shortlist'!A153</f>
        <v>CV051</v>
      </c>
      <c r="B153" s="24" t="str">
        <f>'Scored Shortlist'!C153</f>
        <v>JD5</v>
      </c>
      <c r="C153" s="24" t="str">
        <f>INDEX(Resumes!$D$2:$D$101,MATCH(A153,Resumes!$A$2:$A$101,0))</f>
        <v>CA</v>
      </c>
      <c r="D153" s="24">
        <f>INDEX(Resumes!$E$2:$E$101,MATCH(A153,Resumes!$A$2:$A$101,0))</f>
        <v>3.4</v>
      </c>
      <c r="E153" s="24" t="str">
        <f>INDEX(Resumes!$G$2:$G$101,MATCH(A153,Resumes!$A$2:$A$101,0))</f>
        <v>valuation, Excel, campaign management, public speaking, Tableau, Google Analytics, product roadmap</v>
      </c>
      <c r="F153" s="24" t="str">
        <f>INDEX(Resumes!$I$2:$I$101,MATCH(A153,Resumes!$A$2:$A$101,0))</f>
        <v>Shreya Shah, CA from a tier-3 institute. 3.4 years of experience, most recently at an IT services firm. Key skills: valuation, Excel, campaign management, public speaking, Tableau, Google Analytics, product roadmap. Achievement: led a 5-member campus marketing team. Career gap: 1-year career break (family).</v>
      </c>
      <c r="G153" s="24" t="str">
        <f t="shared" si="44"/>
        <v>led a 5-member campus marketing team</v>
      </c>
      <c r="H153" s="24">
        <f>INDEX('Scoring Prompt'!$C$22:$C$23,MATCH(B153,'Scoring Prompt'!$A$22:$A$23,0))</f>
        <v>3</v>
      </c>
      <c r="I153" s="24">
        <f>INDEX('Scoring Prompt'!$D$22:$D$23,MATCH(B153,'Scoring Prompt'!$A$22:$A$23,0))</f>
        <v>6</v>
      </c>
      <c r="J153" s="24">
        <f>INDEX('Scoring Prompt'!$B$27:$C$34,MATCH(C153,'Scoring Prompt'!$A$27:$A$34,0),MATCH(B153,'Scoring Prompt'!$B$26:$C$26,0))</f>
        <v>5</v>
      </c>
      <c r="K153" s="24">
        <f>IF(AND(D153&gt;=H153,D153&lt;=I153),'Scoring Prompt'!$B$47,IF(D153&lt;H153,IF(H153-D153&lt;=1,'Scoring Prompt'!$B$48,IF(H153-D153&lt;=2,'Scoring Prompt'!$B$49,'Scoring Prompt'!$B$50)),IF(D153-I153&lt;=2,'Scoring Prompt'!$B$51,'Scoring Prompt'!$B$52)))</f>
        <v>25</v>
      </c>
      <c r="L153" s="24">
        <f>IF(B153="JD3",SUMPRODUCT(--ISNUMBER(SEARCH('Scoring Prompt'!$E$22:$I$22,E153))),SUMPRODUCT(--ISNUMBER(SEARCH('Scoring Prompt'!$E$23:$I$23,E153))))</f>
        <v>1</v>
      </c>
      <c r="M153" s="24">
        <f t="shared" si="45"/>
        <v>8</v>
      </c>
      <c r="N153" s="24">
        <f>INDEX('Scoring Prompt'!$B$38:$C$43,MATCH(G153,'Scoring Prompt'!$A$38:$A$43,0),MATCH(B153,'Scoring Prompt'!$B$37:$C$37,0))</f>
        <v>5</v>
      </c>
      <c r="O153" s="24">
        <f t="shared" si="46"/>
        <v>43</v>
      </c>
      <c r="P153" s="24">
        <f>'Scored Shortlist'!E153</f>
        <v>5</v>
      </c>
      <c r="Q153" s="24">
        <f>'Scored Shortlist'!F153</f>
        <v>25</v>
      </c>
      <c r="R153" s="24">
        <f>'Scored Shortlist'!G153</f>
        <v>8</v>
      </c>
      <c r="S153" s="24">
        <f>'Scored Shortlist'!H153</f>
        <v>5</v>
      </c>
      <c r="T153" s="24">
        <f>'Scored Shortlist'!I153</f>
        <v>43</v>
      </c>
      <c r="U153" s="24">
        <f>IF('Scored Shortlist'!M153="none",0,(LEN('Scored Shortlist'!M153)-LEN(SUBSTITUTE('Scored Shortlist'!M153,"&lt;-","")))/2)</f>
        <v>0</v>
      </c>
      <c r="V153" s="24">
        <f t="shared" si="47"/>
        <v>1</v>
      </c>
      <c r="W153" s="24">
        <f t="shared" si="48"/>
        <v>1</v>
      </c>
      <c r="X153" s="24">
        <f t="shared" si="49"/>
        <v>1</v>
      </c>
      <c r="Y153" s="24">
        <f t="shared" si="50"/>
        <v>0</v>
      </c>
      <c r="Z153" s="24">
        <f t="shared" si="51"/>
        <v>0</v>
      </c>
      <c r="AA153" s="24">
        <f t="shared" si="52"/>
        <v>1</v>
      </c>
      <c r="AB153" s="25" t="str">
        <f t="shared" si="53"/>
        <v>OK</v>
      </c>
      <c r="AC153" s="24" t="str">
        <f t="shared" si="54"/>
        <v>Not shortlisted</v>
      </c>
      <c r="AD153" s="24" t="str">
        <f>IF(ISNUMBER(SEARCH(" "&amp;LEFT('Scored Shortlist'!B153,FIND(" ",'Scored Shortlist'!B153)-1)&amp;" "," "&amp;'Scored Shortlist'!N153&amp;" ")),"YES","no")</f>
        <v>no</v>
      </c>
    </row>
    <row r="154" spans="1:30" x14ac:dyDescent="0.25">
      <c r="A154" s="24" t="str">
        <f>'Scored Shortlist'!A154</f>
        <v>CV076</v>
      </c>
      <c r="B154" s="24" t="str">
        <f>'Scored Shortlist'!C154</f>
        <v>JD5</v>
      </c>
      <c r="C154" s="24" t="str">
        <f>INDEX(Resumes!$D$2:$D$101,MATCH(A154,Resumes!$A$2:$A$101,0))</f>
        <v>MBA Operations</v>
      </c>
      <c r="D154" s="24">
        <f>INDEX(Resumes!$E$2:$E$101,MATCH(A154,Resumes!$A$2:$A$101,0))</f>
        <v>8.4</v>
      </c>
      <c r="E154" s="24" t="str">
        <f>INDEX(Resumes!$G$2:$G$101,MATCH(A154,Resumes!$A$2:$A$101,0))</f>
        <v>labour law, Python, public speaking, vendor management, agile, Google Analytics</v>
      </c>
      <c r="F154" s="24" t="str">
        <f>INDEX(Resumes!$I$2:$I$101,MATCH(A154,Resumes!$A$2:$A$101,0))</f>
        <v>Imran D'Souza, MBA Operations from a tier-3 institute. 8.4 years of experience, most recently at a fintech start-up. Key skills: labour law, Python, public speaking, vendor management, agile, Google Analytics. Achievement: improved vendor on-time delivery from 78% to 92%. Career gap: 1-year career break (family).</v>
      </c>
      <c r="G154" s="24" t="str">
        <f t="shared" si="44"/>
        <v>improved vendor on-time delivery from 78% to 92%</v>
      </c>
      <c r="H154" s="24">
        <f>INDEX('Scoring Prompt'!$C$22:$C$23,MATCH(B154,'Scoring Prompt'!$A$22:$A$23,0))</f>
        <v>3</v>
      </c>
      <c r="I154" s="24">
        <f>INDEX('Scoring Prompt'!$D$22:$D$23,MATCH(B154,'Scoring Prompt'!$A$22:$A$23,0))</f>
        <v>6</v>
      </c>
      <c r="J154" s="24">
        <f>INDEX('Scoring Prompt'!$B$27:$C$34,MATCH(C154,'Scoring Prompt'!$A$27:$A$34,0),MATCH(B154,'Scoring Prompt'!$B$26:$C$26,0))</f>
        <v>15</v>
      </c>
      <c r="K154" s="24">
        <f>IF(AND(D154&gt;=H154,D154&lt;=I154),'Scoring Prompt'!$B$47,IF(D154&lt;H154,IF(H154-D154&lt;=1,'Scoring Prompt'!$B$48,IF(H154-D154&lt;=2,'Scoring Prompt'!$B$49,'Scoring Prompt'!$B$50)),IF(D154-I154&lt;=2,'Scoring Prompt'!$B$51,'Scoring Prompt'!$B$52)))</f>
        <v>12</v>
      </c>
      <c r="L154" s="24">
        <f>IF(B154="JD3",SUMPRODUCT(--ISNUMBER(SEARCH('Scoring Prompt'!$E$22:$I$22,E154))),SUMPRODUCT(--ISNUMBER(SEARCH('Scoring Prompt'!$E$23:$I$23,E154))))</f>
        <v>1</v>
      </c>
      <c r="M154" s="24">
        <f t="shared" si="45"/>
        <v>8</v>
      </c>
      <c r="N154" s="24">
        <f>INDEX('Scoring Prompt'!$B$38:$C$43,MATCH(G154,'Scoring Prompt'!$A$38:$A$43,0),MATCH(B154,'Scoring Prompt'!$B$37:$C$37,0))</f>
        <v>4</v>
      </c>
      <c r="O154" s="24">
        <f t="shared" si="46"/>
        <v>39</v>
      </c>
      <c r="P154" s="24">
        <f>'Scored Shortlist'!E154</f>
        <v>15</v>
      </c>
      <c r="Q154" s="24">
        <f>'Scored Shortlist'!F154</f>
        <v>12</v>
      </c>
      <c r="R154" s="24">
        <f>'Scored Shortlist'!G154</f>
        <v>12</v>
      </c>
      <c r="S154" s="24">
        <f>'Scored Shortlist'!H154</f>
        <v>4</v>
      </c>
      <c r="T154" s="24">
        <f>'Scored Shortlist'!I154</f>
        <v>43</v>
      </c>
      <c r="U154" s="24">
        <f>IF('Scored Shortlist'!M154="none",0,(LEN('Scored Shortlist'!M154)-LEN(SUBSTITUTE('Scored Shortlist'!M154,"&lt;-","")))/2)</f>
        <v>1</v>
      </c>
      <c r="V154" s="24">
        <f t="shared" si="47"/>
        <v>1</v>
      </c>
      <c r="W154" s="24">
        <f t="shared" si="48"/>
        <v>1</v>
      </c>
      <c r="X154" s="24">
        <f t="shared" si="49"/>
        <v>1</v>
      </c>
      <c r="Y154" s="24">
        <f t="shared" si="50"/>
        <v>4</v>
      </c>
      <c r="Z154" s="24">
        <f t="shared" si="51"/>
        <v>4</v>
      </c>
      <c r="AA154" s="24">
        <f t="shared" si="52"/>
        <v>1</v>
      </c>
      <c r="AB154" s="25" t="str">
        <f t="shared" si="53"/>
        <v>OK</v>
      </c>
      <c r="AC154" s="24" t="str">
        <f t="shared" si="54"/>
        <v>Not shortlisted</v>
      </c>
      <c r="AD154" s="24" t="str">
        <f>IF(ISNUMBER(SEARCH(" "&amp;LEFT('Scored Shortlist'!B154,FIND(" ",'Scored Shortlist'!B154)-1)&amp;" "," "&amp;'Scored Shortlist'!N154&amp;" ")),"YES","no")</f>
        <v>no</v>
      </c>
    </row>
    <row r="155" spans="1:30" x14ac:dyDescent="0.25">
      <c r="A155" s="24" t="str">
        <f>'Scored Shortlist'!A155</f>
        <v>CV079</v>
      </c>
      <c r="B155" s="24" t="str">
        <f>'Scored Shortlist'!C155</f>
        <v>JD5</v>
      </c>
      <c r="C155" s="24" t="str">
        <f>INDEX(Resumes!$D$2:$D$101,MATCH(A155,Resumes!$A$2:$A$101,0))</f>
        <v>B.Com</v>
      </c>
      <c r="D155" s="24">
        <f>INDEX(Resumes!$E$2:$E$101,MATCH(A155,Resumes!$A$2:$A$101,0))</f>
        <v>2.1</v>
      </c>
      <c r="E155" s="24" t="str">
        <f>INDEX(Resumes!$G$2:$G$101,MATCH(A155,Resumes!$A$2:$A$101,0))</f>
        <v>user research, UPI/payments, public speaking, Python</v>
      </c>
      <c r="F155" s="24" t="str">
        <f>INDEX(Resumes!$I$2:$I$101,MATCH(A155,Resumes!$A$2:$A$101,0))</f>
        <v>Divya Chatterjee, B.Com from a tier-2 institute. 2.1 years of experience, most recently at a fintech start-up. Key skills: user research, UPI/payments, public speaking, Python. Achievement: built a Power BI sales dashboard used by 30 managers. Career gap: 1-year career break (family).</v>
      </c>
      <c r="G155" s="24" t="str">
        <f t="shared" si="44"/>
        <v>built a Power BI sales dashboard used by 30 managers</v>
      </c>
      <c r="H155" s="24">
        <f>INDEX('Scoring Prompt'!$C$22:$C$23,MATCH(B155,'Scoring Prompt'!$A$22:$A$23,0))</f>
        <v>3</v>
      </c>
      <c r="I155" s="24">
        <f>INDEX('Scoring Prompt'!$D$22:$D$23,MATCH(B155,'Scoring Prompt'!$A$22:$A$23,0))</f>
        <v>6</v>
      </c>
      <c r="J155" s="24">
        <f>INDEX('Scoring Prompt'!$B$27:$C$34,MATCH(C155,'Scoring Prompt'!$A$27:$A$34,0),MATCH(B155,'Scoring Prompt'!$B$26:$C$26,0))</f>
        <v>5</v>
      </c>
      <c r="K155" s="24">
        <f>IF(AND(D155&gt;=H155,D155&lt;=I155),'Scoring Prompt'!$B$47,IF(D155&lt;H155,IF(H155-D155&lt;=1,'Scoring Prompt'!$B$48,IF(H155-D155&lt;=2,'Scoring Prompt'!$B$49,'Scoring Prompt'!$B$50)),IF(D155-I155&lt;=2,'Scoring Prompt'!$B$51,'Scoring Prompt'!$B$52)))</f>
        <v>15</v>
      </c>
      <c r="L155" s="24">
        <f>IF(B155="JD3",SUMPRODUCT(--ISNUMBER(SEARCH('Scoring Prompt'!$E$22:$I$22,E155))),SUMPRODUCT(--ISNUMBER(SEARCH('Scoring Prompt'!$E$23:$I$23,E155))))</f>
        <v>2</v>
      </c>
      <c r="M155" s="24">
        <f t="shared" si="45"/>
        <v>16</v>
      </c>
      <c r="N155" s="24">
        <f>INDEX('Scoring Prompt'!$B$38:$C$43,MATCH(G155,'Scoring Prompt'!$A$38:$A$43,0),MATCH(B155,'Scoring Prompt'!$B$37:$C$37,0))</f>
        <v>7</v>
      </c>
      <c r="O155" s="24">
        <f t="shared" si="46"/>
        <v>43</v>
      </c>
      <c r="P155" s="24">
        <f>'Scored Shortlist'!E155</f>
        <v>5</v>
      </c>
      <c r="Q155" s="24">
        <f>'Scored Shortlist'!F155</f>
        <v>15</v>
      </c>
      <c r="R155" s="24">
        <f>'Scored Shortlist'!G155</f>
        <v>16</v>
      </c>
      <c r="S155" s="24">
        <f>'Scored Shortlist'!H155</f>
        <v>7</v>
      </c>
      <c r="T155" s="24">
        <f>'Scored Shortlist'!I155</f>
        <v>43</v>
      </c>
      <c r="U155" s="24">
        <f>IF('Scored Shortlist'!M155="none",0,(LEN('Scored Shortlist'!M155)-LEN(SUBSTITUTE('Scored Shortlist'!M155,"&lt;-","")))/2)</f>
        <v>0</v>
      </c>
      <c r="V155" s="24">
        <f t="shared" si="47"/>
        <v>1</v>
      </c>
      <c r="W155" s="24">
        <f t="shared" si="48"/>
        <v>1</v>
      </c>
      <c r="X155" s="24">
        <f t="shared" si="49"/>
        <v>1</v>
      </c>
      <c r="Y155" s="24">
        <f t="shared" si="50"/>
        <v>0</v>
      </c>
      <c r="Z155" s="24">
        <f t="shared" si="51"/>
        <v>0</v>
      </c>
      <c r="AA155" s="24">
        <f t="shared" si="52"/>
        <v>1</v>
      </c>
      <c r="AB155" s="25" t="str">
        <f t="shared" si="53"/>
        <v>OK</v>
      </c>
      <c r="AC155" s="24" t="str">
        <f t="shared" si="54"/>
        <v>Not shortlisted</v>
      </c>
      <c r="AD155" s="24" t="str">
        <f>IF(ISNUMBER(SEARCH(" "&amp;LEFT('Scored Shortlist'!B155,FIND(" ",'Scored Shortlist'!B155)-1)&amp;" "," "&amp;'Scored Shortlist'!N155&amp;" ")),"YES","no")</f>
        <v>no</v>
      </c>
    </row>
    <row r="156" spans="1:30" x14ac:dyDescent="0.25">
      <c r="A156" s="24" t="str">
        <f>'Scored Shortlist'!A156</f>
        <v>CV041</v>
      </c>
      <c r="B156" s="24" t="str">
        <f>'Scored Shortlist'!C156</f>
        <v>JD5</v>
      </c>
      <c r="C156" s="24" t="str">
        <f>INDEX(Resumes!$D$2:$D$101,MATCH(A156,Resumes!$A$2:$A$101,0))</f>
        <v>BBA</v>
      </c>
      <c r="D156" s="24">
        <f>INDEX(Resumes!$E$2:$E$101,MATCH(A156,Resumes!$A$2:$A$101,0))</f>
        <v>5.0999999999999996</v>
      </c>
      <c r="E156" s="24" t="str">
        <f>INDEX(Resumes!$G$2:$G$101,MATCH(A156,Resumes!$A$2:$A$101,0))</f>
        <v>SEO, SQL, HR analytics, Excel, inventory planning</v>
      </c>
      <c r="F156" s="24" t="str">
        <f>INDEX(Resumes!$I$2:$I$101,MATCH(A156,Resumes!$A$2:$A$101,0))</f>
        <v>Neha Gupta, BBA from a tier-3 institute. 5.1 years of experience, most recently at an FMCG distributor. Key skills: SEO, SQL, HR analytics, Excel, inventory planning. Achievement: improved vendor on-time delivery from 78% to 92%. Career gap: None.</v>
      </c>
      <c r="G156" s="24" t="str">
        <f t="shared" si="44"/>
        <v>improved vendor on-time delivery from 78% to 92%</v>
      </c>
      <c r="H156" s="24">
        <f>INDEX('Scoring Prompt'!$C$22:$C$23,MATCH(B156,'Scoring Prompt'!$A$22:$A$23,0))</f>
        <v>3</v>
      </c>
      <c r="I156" s="24">
        <f>INDEX('Scoring Prompt'!$D$22:$D$23,MATCH(B156,'Scoring Prompt'!$A$22:$A$23,0))</f>
        <v>6</v>
      </c>
      <c r="J156" s="24">
        <f>INDEX('Scoring Prompt'!$B$27:$C$34,MATCH(C156,'Scoring Prompt'!$A$27:$A$34,0),MATCH(B156,'Scoring Prompt'!$B$26:$C$26,0))</f>
        <v>5</v>
      </c>
      <c r="K156" s="24">
        <f>IF(AND(D156&gt;=H156,D156&lt;=I156),'Scoring Prompt'!$B$47,IF(D156&lt;H156,IF(H156-D156&lt;=1,'Scoring Prompt'!$B$48,IF(H156-D156&lt;=2,'Scoring Prompt'!$B$49,'Scoring Prompt'!$B$50)),IF(D156-I156&lt;=2,'Scoring Prompt'!$B$51,'Scoring Prompt'!$B$52)))</f>
        <v>25</v>
      </c>
      <c r="L156" s="24">
        <f>IF(B156="JD3",SUMPRODUCT(--ISNUMBER(SEARCH('Scoring Prompt'!$E$22:$I$22,E156))),SUMPRODUCT(--ISNUMBER(SEARCH('Scoring Prompt'!$E$23:$I$23,E156))))</f>
        <v>1</v>
      </c>
      <c r="M156" s="24">
        <f t="shared" si="45"/>
        <v>8</v>
      </c>
      <c r="N156" s="24">
        <f>INDEX('Scoring Prompt'!$B$38:$C$43,MATCH(G156,'Scoring Prompt'!$A$38:$A$43,0),MATCH(B156,'Scoring Prompt'!$B$37:$C$37,0))</f>
        <v>4</v>
      </c>
      <c r="O156" s="24">
        <f t="shared" si="46"/>
        <v>42</v>
      </c>
      <c r="P156" s="24">
        <f>'Scored Shortlist'!E156</f>
        <v>5</v>
      </c>
      <c r="Q156" s="24">
        <f>'Scored Shortlist'!F156</f>
        <v>25</v>
      </c>
      <c r="R156" s="24">
        <f>'Scored Shortlist'!G156</f>
        <v>8</v>
      </c>
      <c r="S156" s="24">
        <f>'Scored Shortlist'!H156</f>
        <v>4</v>
      </c>
      <c r="T156" s="24">
        <f>'Scored Shortlist'!I156</f>
        <v>42</v>
      </c>
      <c r="U156" s="24">
        <f>IF('Scored Shortlist'!M156="none",0,(LEN('Scored Shortlist'!M156)-LEN(SUBSTITUTE('Scored Shortlist'!M156,"&lt;-","")))/2)</f>
        <v>0</v>
      </c>
      <c r="V156" s="24">
        <f t="shared" si="47"/>
        <v>1</v>
      </c>
      <c r="W156" s="24">
        <f t="shared" si="48"/>
        <v>1</v>
      </c>
      <c r="X156" s="24">
        <f t="shared" si="49"/>
        <v>1</v>
      </c>
      <c r="Y156" s="24">
        <f t="shared" si="50"/>
        <v>0</v>
      </c>
      <c r="Z156" s="24">
        <f t="shared" si="51"/>
        <v>0</v>
      </c>
      <c r="AA156" s="24">
        <f t="shared" si="52"/>
        <v>1</v>
      </c>
      <c r="AB156" s="25" t="str">
        <f t="shared" si="53"/>
        <v>OK</v>
      </c>
      <c r="AC156" s="24" t="str">
        <f t="shared" si="54"/>
        <v>Not shortlisted</v>
      </c>
      <c r="AD156" s="24" t="str">
        <f>IF(ISNUMBER(SEARCH(" "&amp;LEFT('Scored Shortlist'!B156,FIND(" ",'Scored Shortlist'!B156)-1)&amp;" "," "&amp;'Scored Shortlist'!N156&amp;" ")),"YES","no")</f>
        <v>no</v>
      </c>
    </row>
    <row r="157" spans="1:30" x14ac:dyDescent="0.25">
      <c r="A157" s="24" t="str">
        <f>'Scored Shortlist'!A157</f>
        <v>CV043</v>
      </c>
      <c r="B157" s="24" t="str">
        <f>'Scored Shortlist'!C157</f>
        <v>JD5</v>
      </c>
      <c r="C157" s="24" t="str">
        <f>INDEX(Resumes!$D$2:$D$101,MATCH(A157,Resumes!$A$2:$A$101,0))</f>
        <v>MBA Finance</v>
      </c>
      <c r="D157" s="24">
        <f>INDEX(Resumes!$E$2:$E$101,MATCH(A157,Resumes!$A$2:$A$101,0))</f>
        <v>1.9</v>
      </c>
      <c r="E157" s="24" t="str">
        <f>INDEX(Resumes!$G$2:$G$101,MATCH(A157,Resumes!$A$2:$A$101,0))</f>
        <v>Tableau, stakeholder management, valuation, employee relations, product roadmap, A/B testing, demand forecasting</v>
      </c>
      <c r="F157" s="24" t="str">
        <f>INDEX(Resumes!$I$2:$I$101,MATCH(A157,Resumes!$A$2:$A$101,0))</f>
        <v>Isha Patil, MBA Finance from a tier-3 institute. 1.9 years of experience, most recently at a fintech start-up. Key skills: Tableau, stakeholder management, valuation, employee relations, product roadmap, A/B testing, demand forecasting. Achievement: handled 120 hires in one year. Career gap: 6-month gap (exam preparation).</v>
      </c>
      <c r="G157" s="24" t="str">
        <f t="shared" si="44"/>
        <v>handled 120 hires in one year</v>
      </c>
      <c r="H157" s="24">
        <f>INDEX('Scoring Prompt'!$C$22:$C$23,MATCH(B157,'Scoring Prompt'!$A$22:$A$23,0))</f>
        <v>3</v>
      </c>
      <c r="I157" s="24">
        <f>INDEX('Scoring Prompt'!$D$22:$D$23,MATCH(B157,'Scoring Prompt'!$A$22:$A$23,0))</f>
        <v>6</v>
      </c>
      <c r="J157" s="24">
        <f>INDEX('Scoring Prompt'!$B$27:$C$34,MATCH(C157,'Scoring Prompt'!$A$27:$A$34,0),MATCH(B157,'Scoring Prompt'!$B$26:$C$26,0))</f>
        <v>15</v>
      </c>
      <c r="K157" s="24">
        <f>IF(AND(D157&gt;=H157,D157&lt;=I157),'Scoring Prompt'!$B$47,IF(D157&lt;H157,IF(H157-D157&lt;=1,'Scoring Prompt'!$B$48,IF(H157-D157&lt;=2,'Scoring Prompt'!$B$49,'Scoring Prompt'!$B$50)),IF(D157-I157&lt;=2,'Scoring Prompt'!$B$51,'Scoring Prompt'!$B$52)))</f>
        <v>8</v>
      </c>
      <c r="L157" s="24">
        <f>IF(B157="JD3",SUMPRODUCT(--ISNUMBER(SEARCH('Scoring Prompt'!$E$22:$I$22,E157))),SUMPRODUCT(--ISNUMBER(SEARCH('Scoring Prompt'!$E$23:$I$23,E157))))</f>
        <v>1</v>
      </c>
      <c r="M157" s="24">
        <f t="shared" si="45"/>
        <v>8</v>
      </c>
      <c r="N157" s="24">
        <f>INDEX('Scoring Prompt'!$B$38:$C$43,MATCH(G157,'Scoring Prompt'!$A$38:$A$43,0),MATCH(B157,'Scoring Prompt'!$B$37:$C$37,0))</f>
        <v>3</v>
      </c>
      <c r="O157" s="24">
        <f t="shared" si="46"/>
        <v>34</v>
      </c>
      <c r="P157" s="24">
        <f>'Scored Shortlist'!E157</f>
        <v>15</v>
      </c>
      <c r="Q157" s="24">
        <f>'Scored Shortlist'!F157</f>
        <v>8</v>
      </c>
      <c r="R157" s="24">
        <f>'Scored Shortlist'!G157</f>
        <v>16</v>
      </c>
      <c r="S157" s="24">
        <f>'Scored Shortlist'!H157</f>
        <v>3</v>
      </c>
      <c r="T157" s="24">
        <f>'Scored Shortlist'!I157</f>
        <v>42</v>
      </c>
      <c r="U157" s="24">
        <f>IF('Scored Shortlist'!M157="none",0,(LEN('Scored Shortlist'!M157)-LEN(SUBSTITUTE('Scored Shortlist'!M157,"&lt;-","")))/2)</f>
        <v>2</v>
      </c>
      <c r="V157" s="24">
        <f t="shared" si="47"/>
        <v>1</v>
      </c>
      <c r="W157" s="24">
        <f t="shared" si="48"/>
        <v>1</v>
      </c>
      <c r="X157" s="24">
        <f t="shared" si="49"/>
        <v>1</v>
      </c>
      <c r="Y157" s="24">
        <f t="shared" si="50"/>
        <v>8</v>
      </c>
      <c r="Z157" s="24">
        <f t="shared" si="51"/>
        <v>8</v>
      </c>
      <c r="AA157" s="24">
        <f t="shared" si="52"/>
        <v>1</v>
      </c>
      <c r="AB157" s="25" t="str">
        <f t="shared" si="53"/>
        <v>OK</v>
      </c>
      <c r="AC157" s="24" t="str">
        <f t="shared" si="54"/>
        <v>Not shortlisted</v>
      </c>
      <c r="AD157" s="24" t="str">
        <f>IF(ISNUMBER(SEARCH(" "&amp;LEFT('Scored Shortlist'!B157,FIND(" ",'Scored Shortlist'!B157)-1)&amp;" "," "&amp;'Scored Shortlist'!N157&amp;" ")),"YES","no")</f>
        <v>no</v>
      </c>
    </row>
    <row r="158" spans="1:30" x14ac:dyDescent="0.25">
      <c r="A158" s="24" t="str">
        <f>'Scored Shortlist'!A158</f>
        <v>CV027</v>
      </c>
      <c r="B158" s="24" t="str">
        <f>'Scored Shortlist'!C158</f>
        <v>JD5</v>
      </c>
      <c r="C158" s="24" t="str">
        <f>INDEX(Resumes!$D$2:$D$101,MATCH(A158,Resumes!$A$2:$A$101,0))</f>
        <v>BBA</v>
      </c>
      <c r="D158" s="24">
        <f>INDEX(Resumes!$E$2:$E$101,MATCH(A158,Resumes!$A$2:$A$101,0))</f>
        <v>4</v>
      </c>
      <c r="E158" s="24" t="str">
        <f>INDEX(Resumes!$G$2:$G$101,MATCH(A158,Resumes!$A$2:$A$101,0))</f>
        <v>recruitment, valuation, vendor management, user research, A/B testing, content writing, SAP MM</v>
      </c>
      <c r="F158" s="24" t="str">
        <f>INDEX(Resumes!$I$2:$I$101,MATCH(A158,Resumes!$A$2:$A$101,0))</f>
        <v>Rohan Iyer, BBA from a tier-2 institute. 4.0 years of experience, most recently at a consulting firm. Key skills: recruitment, valuation, vendor management, user research, A/B testing, content writing, SAP MM. Achievement: handled 120 hires in one year. Career gap: 1-year career break (family).</v>
      </c>
      <c r="G158" s="24" t="str">
        <f t="shared" si="44"/>
        <v>handled 120 hires in one year</v>
      </c>
      <c r="H158" s="24">
        <f>INDEX('Scoring Prompt'!$C$22:$C$23,MATCH(B158,'Scoring Prompt'!$A$22:$A$23,0))</f>
        <v>3</v>
      </c>
      <c r="I158" s="24">
        <f>INDEX('Scoring Prompt'!$D$22:$D$23,MATCH(B158,'Scoring Prompt'!$A$22:$A$23,0))</f>
        <v>6</v>
      </c>
      <c r="J158" s="24">
        <f>INDEX('Scoring Prompt'!$B$27:$C$34,MATCH(C158,'Scoring Prompt'!$A$27:$A$34,0),MATCH(B158,'Scoring Prompt'!$B$26:$C$26,0))</f>
        <v>5</v>
      </c>
      <c r="K158" s="24">
        <f>IF(AND(D158&gt;=H158,D158&lt;=I158),'Scoring Prompt'!$B$47,IF(D158&lt;H158,IF(H158-D158&lt;=1,'Scoring Prompt'!$B$48,IF(H158-D158&lt;=2,'Scoring Prompt'!$B$49,'Scoring Prompt'!$B$50)),IF(D158-I158&lt;=2,'Scoring Prompt'!$B$51,'Scoring Prompt'!$B$52)))</f>
        <v>25</v>
      </c>
      <c r="L158" s="24">
        <f>IF(B158="JD3",SUMPRODUCT(--ISNUMBER(SEARCH('Scoring Prompt'!$E$22:$I$22,E158))),SUMPRODUCT(--ISNUMBER(SEARCH('Scoring Prompt'!$E$23:$I$23,E158))))</f>
        <v>1</v>
      </c>
      <c r="M158" s="24">
        <f t="shared" si="45"/>
        <v>8</v>
      </c>
      <c r="N158" s="24">
        <f>INDEX('Scoring Prompt'!$B$38:$C$43,MATCH(G158,'Scoring Prompt'!$A$38:$A$43,0),MATCH(B158,'Scoring Prompt'!$B$37:$C$37,0))</f>
        <v>3</v>
      </c>
      <c r="O158" s="24">
        <f t="shared" si="46"/>
        <v>41</v>
      </c>
      <c r="P158" s="24">
        <f>'Scored Shortlist'!E158</f>
        <v>5</v>
      </c>
      <c r="Q158" s="24">
        <f>'Scored Shortlist'!F158</f>
        <v>25</v>
      </c>
      <c r="R158" s="24">
        <f>'Scored Shortlist'!G158</f>
        <v>8</v>
      </c>
      <c r="S158" s="24">
        <f>'Scored Shortlist'!H158</f>
        <v>3</v>
      </c>
      <c r="T158" s="24">
        <f>'Scored Shortlist'!I158</f>
        <v>41</v>
      </c>
      <c r="U158" s="24">
        <f>IF('Scored Shortlist'!M158="none",0,(LEN('Scored Shortlist'!M158)-LEN(SUBSTITUTE('Scored Shortlist'!M158,"&lt;-","")))/2)</f>
        <v>0</v>
      </c>
      <c r="V158" s="24">
        <f t="shared" si="47"/>
        <v>1</v>
      </c>
      <c r="W158" s="24">
        <f t="shared" si="48"/>
        <v>1</v>
      </c>
      <c r="X158" s="24">
        <f t="shared" si="49"/>
        <v>1</v>
      </c>
      <c r="Y158" s="24">
        <f t="shared" si="50"/>
        <v>0</v>
      </c>
      <c r="Z158" s="24">
        <f t="shared" si="51"/>
        <v>0</v>
      </c>
      <c r="AA158" s="24">
        <f t="shared" si="52"/>
        <v>1</v>
      </c>
      <c r="AB158" s="25" t="str">
        <f t="shared" si="53"/>
        <v>OK</v>
      </c>
      <c r="AC158" s="24" t="str">
        <f t="shared" si="54"/>
        <v>Not shortlisted</v>
      </c>
      <c r="AD158" s="24" t="str">
        <f>IF(ISNUMBER(SEARCH(" "&amp;LEFT('Scored Shortlist'!B158,FIND(" ",'Scored Shortlist'!B158)-1)&amp;" "," "&amp;'Scored Shortlist'!N158&amp;" ")),"YES","no")</f>
        <v>no</v>
      </c>
    </row>
    <row r="159" spans="1:30" x14ac:dyDescent="0.25">
      <c r="A159" s="24" t="str">
        <f>'Scored Shortlist'!A159</f>
        <v>CV068</v>
      </c>
      <c r="B159" s="24" t="str">
        <f>'Scored Shortlist'!C159</f>
        <v>JD5</v>
      </c>
      <c r="C159" s="24" t="str">
        <f>INDEX(Resumes!$D$2:$D$101,MATCH(A159,Resumes!$A$2:$A$101,0))</f>
        <v>B.Tech + MBA</v>
      </c>
      <c r="D159" s="24">
        <f>INDEX(Resumes!$E$2:$E$101,MATCH(A159,Resumes!$A$2:$A$101,0))</f>
        <v>1.3</v>
      </c>
      <c r="E159" s="24" t="str">
        <f>INDEX(Resumes!$G$2:$G$101,MATCH(A159,Resumes!$A$2:$A$101,0))</f>
        <v>Tableau, campaign management, recruitment, HR analytics, user research, Google Analytics</v>
      </c>
      <c r="F159" s="24" t="str">
        <f>INDEX(Resumes!$I$2:$I$101,MATCH(A159,Resumes!$A$2:$A$101,0))</f>
        <v>Ritu Desai, B.Tech + MBA from a tier-3 institute. 1.3 years of experience, most recently at a consulting firm. Key skills: Tableau, campaign management, recruitment, HR analytics, user research, Google Analytics. Achievement: no major achievement listed. Career gap: None.</v>
      </c>
      <c r="G159" s="24" t="str">
        <f t="shared" si="44"/>
        <v>no major achievement listed</v>
      </c>
      <c r="H159" s="24">
        <f>INDEX('Scoring Prompt'!$C$22:$C$23,MATCH(B159,'Scoring Prompt'!$A$22:$A$23,0))</f>
        <v>3</v>
      </c>
      <c r="I159" s="24">
        <f>INDEX('Scoring Prompt'!$D$22:$D$23,MATCH(B159,'Scoring Prompt'!$A$22:$A$23,0))</f>
        <v>6</v>
      </c>
      <c r="J159" s="24">
        <f>INDEX('Scoring Prompt'!$B$27:$C$34,MATCH(C159,'Scoring Prompt'!$A$27:$A$34,0),MATCH(B159,'Scoring Prompt'!$B$26:$C$26,0))</f>
        <v>25</v>
      </c>
      <c r="K159" s="24">
        <f>IF(AND(D159&gt;=H159,D159&lt;=I159),'Scoring Prompt'!$B$47,IF(D159&lt;H159,IF(H159-D159&lt;=1,'Scoring Prompt'!$B$48,IF(H159-D159&lt;=2,'Scoring Prompt'!$B$49,'Scoring Prompt'!$B$50)),IF(D159-I159&lt;=2,'Scoring Prompt'!$B$51,'Scoring Prompt'!$B$52)))</f>
        <v>8</v>
      </c>
      <c r="L159" s="24">
        <f>IF(B159="JD3",SUMPRODUCT(--ISNUMBER(SEARCH('Scoring Prompt'!$E$22:$I$22,E159))),SUMPRODUCT(--ISNUMBER(SEARCH('Scoring Prompt'!$E$23:$I$23,E159))))</f>
        <v>1</v>
      </c>
      <c r="M159" s="24">
        <f t="shared" si="45"/>
        <v>8</v>
      </c>
      <c r="N159" s="24">
        <f>INDEX('Scoring Prompt'!$B$38:$C$43,MATCH(G159,'Scoring Prompt'!$A$38:$A$43,0),MATCH(B159,'Scoring Prompt'!$B$37:$C$37,0))</f>
        <v>0</v>
      </c>
      <c r="O159" s="24">
        <f t="shared" si="46"/>
        <v>41</v>
      </c>
      <c r="P159" s="24">
        <f>'Scored Shortlist'!E159</f>
        <v>25</v>
      </c>
      <c r="Q159" s="24">
        <f>'Scored Shortlist'!F159</f>
        <v>8</v>
      </c>
      <c r="R159" s="24">
        <f>'Scored Shortlist'!G159</f>
        <v>8</v>
      </c>
      <c r="S159" s="24">
        <f>'Scored Shortlist'!H159</f>
        <v>0</v>
      </c>
      <c r="T159" s="24">
        <f>'Scored Shortlist'!I159</f>
        <v>41</v>
      </c>
      <c r="U159" s="24">
        <f>IF('Scored Shortlist'!M159="none",0,(LEN('Scored Shortlist'!M159)-LEN(SUBSTITUTE('Scored Shortlist'!M159,"&lt;-","")))/2)</f>
        <v>0</v>
      </c>
      <c r="V159" s="24">
        <f t="shared" si="47"/>
        <v>1</v>
      </c>
      <c r="W159" s="24">
        <f t="shared" si="48"/>
        <v>1</v>
      </c>
      <c r="X159" s="24">
        <f t="shared" si="49"/>
        <v>1</v>
      </c>
      <c r="Y159" s="24">
        <f t="shared" si="50"/>
        <v>0</v>
      </c>
      <c r="Z159" s="24">
        <f t="shared" si="51"/>
        <v>0</v>
      </c>
      <c r="AA159" s="24">
        <f t="shared" si="52"/>
        <v>1</v>
      </c>
      <c r="AB159" s="25" t="str">
        <f t="shared" si="53"/>
        <v>OK</v>
      </c>
      <c r="AC159" s="24" t="str">
        <f t="shared" si="54"/>
        <v>Not shortlisted</v>
      </c>
      <c r="AD159" s="24" t="str">
        <f>IF(ISNUMBER(SEARCH(" "&amp;LEFT('Scored Shortlist'!B159,FIND(" ",'Scored Shortlist'!B159)-1)&amp;" "," "&amp;'Scored Shortlist'!N159&amp;" ")),"YES","no")</f>
        <v>no</v>
      </c>
    </row>
    <row r="160" spans="1:30" x14ac:dyDescent="0.25">
      <c r="A160" s="24" t="str">
        <f>'Scored Shortlist'!A160</f>
        <v>CV070</v>
      </c>
      <c r="B160" s="24" t="str">
        <f>'Scored Shortlist'!C160</f>
        <v>JD5</v>
      </c>
      <c r="C160" s="24" t="str">
        <f>INDEX(Resumes!$D$2:$D$101,MATCH(A160,Resumes!$A$2:$A$101,0))</f>
        <v>BBA</v>
      </c>
      <c r="D160" s="24">
        <f>INDEX(Resumes!$E$2:$E$101,MATCH(A160,Resumes!$A$2:$A$101,0))</f>
        <v>3.7</v>
      </c>
      <c r="E160" s="24" t="str">
        <f>INDEX(Resumes!$G$2:$G$101,MATCH(A160,Resumes!$A$2:$A$101,0))</f>
        <v>Power BI, campaign management, labour law, valuation, demand forecasting, SQL, Python, recruitment</v>
      </c>
      <c r="F160" s="24" t="str">
        <f>INDEX(Resumes!$I$2:$I$101,MATCH(A160,Resumes!$A$2:$A$101,0))</f>
        <v>Gauri Banerjee, BBA from a tier-3 institute. 3.7 years of experience, most recently at a consulting firm. Key skills: Power BI, campaign management, labour law, valuation, demand forecasting, SQL, Python, recruitment. Achievement: handled 120 hires in one year. Career gap: None.</v>
      </c>
      <c r="G160" s="24" t="str">
        <f t="shared" si="44"/>
        <v>handled 120 hires in one year</v>
      </c>
      <c r="H160" s="24">
        <f>INDEX('Scoring Prompt'!$C$22:$C$23,MATCH(B160,'Scoring Prompt'!$A$22:$A$23,0))</f>
        <v>3</v>
      </c>
      <c r="I160" s="24">
        <f>INDEX('Scoring Prompt'!$D$22:$D$23,MATCH(B160,'Scoring Prompt'!$A$22:$A$23,0))</f>
        <v>6</v>
      </c>
      <c r="J160" s="24">
        <f>INDEX('Scoring Prompt'!$B$27:$C$34,MATCH(C160,'Scoring Prompt'!$A$27:$A$34,0),MATCH(B160,'Scoring Prompt'!$B$26:$C$26,0))</f>
        <v>5</v>
      </c>
      <c r="K160" s="24">
        <f>IF(AND(D160&gt;=H160,D160&lt;=I160),'Scoring Prompt'!$B$47,IF(D160&lt;H160,IF(H160-D160&lt;=1,'Scoring Prompt'!$B$48,IF(H160-D160&lt;=2,'Scoring Prompt'!$B$49,'Scoring Prompt'!$B$50)),IF(D160-I160&lt;=2,'Scoring Prompt'!$B$51,'Scoring Prompt'!$B$52)))</f>
        <v>25</v>
      </c>
      <c r="L160" s="24">
        <f>IF(B160="JD3",SUMPRODUCT(--ISNUMBER(SEARCH('Scoring Prompt'!$E$22:$I$22,E160))),SUMPRODUCT(--ISNUMBER(SEARCH('Scoring Prompt'!$E$23:$I$23,E160))))</f>
        <v>1</v>
      </c>
      <c r="M160" s="24">
        <f t="shared" si="45"/>
        <v>8</v>
      </c>
      <c r="N160" s="24">
        <f>INDEX('Scoring Prompt'!$B$38:$C$43,MATCH(G160,'Scoring Prompt'!$A$38:$A$43,0),MATCH(B160,'Scoring Prompt'!$B$37:$C$37,0))</f>
        <v>3</v>
      </c>
      <c r="O160" s="24">
        <f t="shared" si="46"/>
        <v>41</v>
      </c>
      <c r="P160" s="24">
        <f>'Scored Shortlist'!E160</f>
        <v>5</v>
      </c>
      <c r="Q160" s="24">
        <f>'Scored Shortlist'!F160</f>
        <v>25</v>
      </c>
      <c r="R160" s="24">
        <f>'Scored Shortlist'!G160</f>
        <v>8</v>
      </c>
      <c r="S160" s="24">
        <f>'Scored Shortlist'!H160</f>
        <v>3</v>
      </c>
      <c r="T160" s="24">
        <f>'Scored Shortlist'!I160</f>
        <v>41</v>
      </c>
      <c r="U160" s="24">
        <f>IF('Scored Shortlist'!M160="none",0,(LEN('Scored Shortlist'!M160)-LEN(SUBSTITUTE('Scored Shortlist'!M160,"&lt;-","")))/2)</f>
        <v>0</v>
      </c>
      <c r="V160" s="24">
        <f t="shared" si="47"/>
        <v>1</v>
      </c>
      <c r="W160" s="24">
        <f t="shared" si="48"/>
        <v>1</v>
      </c>
      <c r="X160" s="24">
        <f t="shared" si="49"/>
        <v>1</v>
      </c>
      <c r="Y160" s="24">
        <f t="shared" si="50"/>
        <v>0</v>
      </c>
      <c r="Z160" s="24">
        <f t="shared" si="51"/>
        <v>0</v>
      </c>
      <c r="AA160" s="24">
        <f t="shared" si="52"/>
        <v>1</v>
      </c>
      <c r="AB160" s="25" t="str">
        <f t="shared" si="53"/>
        <v>OK</v>
      </c>
      <c r="AC160" s="24" t="str">
        <f t="shared" si="54"/>
        <v>Not shortlisted</v>
      </c>
      <c r="AD160" s="24" t="str">
        <f>IF(ISNUMBER(SEARCH(" "&amp;LEFT('Scored Shortlist'!B160,FIND(" ",'Scored Shortlist'!B160)-1)&amp;" "," "&amp;'Scored Shortlist'!N160&amp;" ")),"YES","no")</f>
        <v>no</v>
      </c>
    </row>
    <row r="161" spans="1:30" x14ac:dyDescent="0.25">
      <c r="A161" s="24" t="str">
        <f>'Scored Shortlist'!A161</f>
        <v>CV074</v>
      </c>
      <c r="B161" s="24" t="str">
        <f>'Scored Shortlist'!C161</f>
        <v>JD5</v>
      </c>
      <c r="C161" s="24" t="str">
        <f>INDEX(Resumes!$D$2:$D$101,MATCH(A161,Resumes!$A$2:$A$101,0))</f>
        <v>BBA</v>
      </c>
      <c r="D161" s="24">
        <f>INDEX(Resumes!$E$2:$E$101,MATCH(A161,Resumes!$A$2:$A$101,0))</f>
        <v>8.3000000000000007</v>
      </c>
      <c r="E161" s="24" t="str">
        <f>INDEX(Resumes!$G$2:$G$101,MATCH(A161,Resumes!$A$2:$A$101,0))</f>
        <v>vendor management, Tableau, SAP MM, agile, user research</v>
      </c>
      <c r="F161" s="24" t="str">
        <f>INDEX(Resumes!$I$2:$I$101,MATCH(A161,Resumes!$A$2:$A$101,0))</f>
        <v>Joseph Gupta, BBA from a tier-3 institute. 8.3 years of experience, most recently at a bank. Key skills: vendor management, Tableau, SAP MM, agile, user research. Achievement: improved vendor on-time delivery from 78% to 92%. Career gap: None.</v>
      </c>
      <c r="G161" s="24" t="str">
        <f t="shared" si="44"/>
        <v>improved vendor on-time delivery from 78% to 92%</v>
      </c>
      <c r="H161" s="24">
        <f>INDEX('Scoring Prompt'!$C$22:$C$23,MATCH(B161,'Scoring Prompt'!$A$22:$A$23,0))</f>
        <v>3</v>
      </c>
      <c r="I161" s="24">
        <f>INDEX('Scoring Prompt'!$D$22:$D$23,MATCH(B161,'Scoring Prompt'!$A$22:$A$23,0))</f>
        <v>6</v>
      </c>
      <c r="J161" s="24">
        <f>INDEX('Scoring Prompt'!$B$27:$C$34,MATCH(C161,'Scoring Prompt'!$A$27:$A$34,0),MATCH(B161,'Scoring Prompt'!$B$26:$C$26,0))</f>
        <v>5</v>
      </c>
      <c r="K161" s="24">
        <f>IF(AND(D161&gt;=H161,D161&lt;=I161),'Scoring Prompt'!$B$47,IF(D161&lt;H161,IF(H161-D161&lt;=1,'Scoring Prompt'!$B$48,IF(H161-D161&lt;=2,'Scoring Prompt'!$B$49,'Scoring Prompt'!$B$50)),IF(D161-I161&lt;=2,'Scoring Prompt'!$B$51,'Scoring Prompt'!$B$52)))</f>
        <v>12</v>
      </c>
      <c r="L161" s="24">
        <f>IF(B161="JD3",SUMPRODUCT(--ISNUMBER(SEARCH('Scoring Prompt'!$E$22:$I$22,E161))),SUMPRODUCT(--ISNUMBER(SEARCH('Scoring Prompt'!$E$23:$I$23,E161))))</f>
        <v>2</v>
      </c>
      <c r="M161" s="24">
        <f t="shared" si="45"/>
        <v>16</v>
      </c>
      <c r="N161" s="24">
        <f>INDEX('Scoring Prompt'!$B$38:$C$43,MATCH(G161,'Scoring Prompt'!$A$38:$A$43,0),MATCH(B161,'Scoring Prompt'!$B$37:$C$37,0))</f>
        <v>4</v>
      </c>
      <c r="O161" s="24">
        <f t="shared" si="46"/>
        <v>37</v>
      </c>
      <c r="P161" s="24">
        <f>'Scored Shortlist'!E161</f>
        <v>5</v>
      </c>
      <c r="Q161" s="24">
        <f>'Scored Shortlist'!F161</f>
        <v>12</v>
      </c>
      <c r="R161" s="24">
        <f>'Scored Shortlist'!G161</f>
        <v>20</v>
      </c>
      <c r="S161" s="24">
        <f>'Scored Shortlist'!H161</f>
        <v>4</v>
      </c>
      <c r="T161" s="24">
        <f>'Scored Shortlist'!I161</f>
        <v>41</v>
      </c>
      <c r="U161" s="24">
        <f>IF('Scored Shortlist'!M161="none",0,(LEN('Scored Shortlist'!M161)-LEN(SUBSTITUTE('Scored Shortlist'!M161,"&lt;-","")))/2)</f>
        <v>1</v>
      </c>
      <c r="V161" s="24">
        <f t="shared" si="47"/>
        <v>1</v>
      </c>
      <c r="W161" s="24">
        <f t="shared" si="48"/>
        <v>1</v>
      </c>
      <c r="X161" s="24">
        <f t="shared" si="49"/>
        <v>1</v>
      </c>
      <c r="Y161" s="24">
        <f t="shared" si="50"/>
        <v>4</v>
      </c>
      <c r="Z161" s="24">
        <f t="shared" si="51"/>
        <v>4</v>
      </c>
      <c r="AA161" s="24">
        <f t="shared" si="52"/>
        <v>1</v>
      </c>
      <c r="AB161" s="25" t="str">
        <f t="shared" si="53"/>
        <v>OK</v>
      </c>
      <c r="AC161" s="24" t="str">
        <f t="shared" si="54"/>
        <v>Not shortlisted</v>
      </c>
      <c r="AD161" s="24" t="str">
        <f>IF(ISNUMBER(SEARCH(" "&amp;LEFT('Scored Shortlist'!B161,FIND(" ",'Scored Shortlist'!B161)-1)&amp;" "," "&amp;'Scored Shortlist'!N161&amp;" ")),"YES","no")</f>
        <v>no</v>
      </c>
    </row>
    <row r="162" spans="1:30" x14ac:dyDescent="0.25">
      <c r="A162" s="24" t="str">
        <f>'Scored Shortlist'!A162</f>
        <v>CV044</v>
      </c>
      <c r="B162" s="24" t="str">
        <f>'Scored Shortlist'!C162</f>
        <v>JD5</v>
      </c>
      <c r="C162" s="24" t="str">
        <f>INDEX(Resumes!$D$2:$D$101,MATCH(A162,Resumes!$A$2:$A$101,0))</f>
        <v>CA</v>
      </c>
      <c r="D162" s="24">
        <f>INDEX(Resumes!$E$2:$E$101,MATCH(A162,Resumes!$A$2:$A$101,0))</f>
        <v>7.2</v>
      </c>
      <c r="E162" s="24" t="str">
        <f>INDEX(Resumes!$G$2:$G$101,MATCH(A162,Resumes!$A$2:$A$101,0))</f>
        <v>employee relations, SEO, valuation, agile, demand forecasting, negotiation, recruitment, content writing</v>
      </c>
      <c r="F162" s="24" t="str">
        <f>INDEX(Resumes!$I$2:$I$101,MATCH(A162,Resumes!$A$2:$A$101,0))</f>
        <v>Nisha Banerjee, CA from a tier-3 institute. 7.2 years of experience, most recently at an IT services firm. Key skills: employee relations, SEO, valuation, agile, demand forecasting, negotiation, recruitment, content writing. Achievement: built a Power BI sales dashboard used by 30 managers. Career gap: None.</v>
      </c>
      <c r="G162" s="24" t="str">
        <f t="shared" si="44"/>
        <v>built a Power BI sales dashboard used by 30 managers</v>
      </c>
      <c r="H162" s="24">
        <f>INDEX('Scoring Prompt'!$C$22:$C$23,MATCH(B162,'Scoring Prompt'!$A$22:$A$23,0))</f>
        <v>3</v>
      </c>
      <c r="I162" s="24">
        <f>INDEX('Scoring Prompt'!$D$22:$D$23,MATCH(B162,'Scoring Prompt'!$A$22:$A$23,0))</f>
        <v>6</v>
      </c>
      <c r="J162" s="24">
        <f>INDEX('Scoring Prompt'!$B$27:$C$34,MATCH(C162,'Scoring Prompt'!$A$27:$A$34,0),MATCH(B162,'Scoring Prompt'!$B$26:$C$26,0))</f>
        <v>5</v>
      </c>
      <c r="K162" s="24">
        <f>IF(AND(D162&gt;=H162,D162&lt;=I162),'Scoring Prompt'!$B$47,IF(D162&lt;H162,IF(H162-D162&lt;=1,'Scoring Prompt'!$B$48,IF(H162-D162&lt;=2,'Scoring Prompt'!$B$49,'Scoring Prompt'!$B$50)),IF(D162-I162&lt;=2,'Scoring Prompt'!$B$51,'Scoring Prompt'!$B$52)))</f>
        <v>20</v>
      </c>
      <c r="L162" s="24">
        <f>IF(B162="JD3",SUMPRODUCT(--ISNUMBER(SEARCH('Scoring Prompt'!$E$22:$I$22,E162))),SUMPRODUCT(--ISNUMBER(SEARCH('Scoring Prompt'!$E$23:$I$23,E162))))</f>
        <v>1</v>
      </c>
      <c r="M162" s="24">
        <f t="shared" si="45"/>
        <v>8</v>
      </c>
      <c r="N162" s="24">
        <f>INDEX('Scoring Prompt'!$B$38:$C$43,MATCH(G162,'Scoring Prompt'!$A$38:$A$43,0),MATCH(B162,'Scoring Prompt'!$B$37:$C$37,0))</f>
        <v>7</v>
      </c>
      <c r="O162" s="24">
        <f t="shared" si="46"/>
        <v>40</v>
      </c>
      <c r="P162" s="24">
        <f>'Scored Shortlist'!E162</f>
        <v>5</v>
      </c>
      <c r="Q162" s="24">
        <f>'Scored Shortlist'!F162</f>
        <v>20</v>
      </c>
      <c r="R162" s="24">
        <f>'Scored Shortlist'!G162</f>
        <v>8</v>
      </c>
      <c r="S162" s="24">
        <f>'Scored Shortlist'!H162</f>
        <v>7</v>
      </c>
      <c r="T162" s="24">
        <f>'Scored Shortlist'!I162</f>
        <v>40</v>
      </c>
      <c r="U162" s="24">
        <f>IF('Scored Shortlist'!M162="none",0,(LEN('Scored Shortlist'!M162)-LEN(SUBSTITUTE('Scored Shortlist'!M162,"&lt;-","")))/2)</f>
        <v>0</v>
      </c>
      <c r="V162" s="24">
        <f t="shared" si="47"/>
        <v>1</v>
      </c>
      <c r="W162" s="24">
        <f t="shared" si="48"/>
        <v>1</v>
      </c>
      <c r="X162" s="24">
        <f t="shared" si="49"/>
        <v>1</v>
      </c>
      <c r="Y162" s="24">
        <f t="shared" si="50"/>
        <v>0</v>
      </c>
      <c r="Z162" s="24">
        <f t="shared" si="51"/>
        <v>0</v>
      </c>
      <c r="AA162" s="24">
        <f t="shared" si="52"/>
        <v>1</v>
      </c>
      <c r="AB162" s="25" t="str">
        <f t="shared" si="53"/>
        <v>OK</v>
      </c>
      <c r="AC162" s="24" t="str">
        <f t="shared" si="54"/>
        <v>Not shortlisted</v>
      </c>
      <c r="AD162" s="24" t="str">
        <f>IF(ISNUMBER(SEARCH(" "&amp;LEFT('Scored Shortlist'!B162,FIND(" ",'Scored Shortlist'!B162)-1)&amp;" "," "&amp;'Scored Shortlist'!N162&amp;" ")),"YES","no")</f>
        <v>no</v>
      </c>
    </row>
    <row r="163" spans="1:30" x14ac:dyDescent="0.25">
      <c r="A163" s="24" t="str">
        <f>'Scored Shortlist'!A163</f>
        <v>CV069</v>
      </c>
      <c r="B163" s="24" t="str">
        <f>'Scored Shortlist'!C163</f>
        <v>JD5</v>
      </c>
      <c r="C163" s="24" t="str">
        <f>INDEX(Resumes!$D$2:$D$101,MATCH(A163,Resumes!$A$2:$A$101,0))</f>
        <v>MBA Operations</v>
      </c>
      <c r="D163" s="24">
        <f>INDEX(Resumes!$E$2:$E$101,MATCH(A163,Resumes!$A$2:$A$101,0))</f>
        <v>1.5</v>
      </c>
      <c r="E163" s="24" t="str">
        <f>INDEX(Resumes!$G$2:$G$101,MATCH(A163,Resumes!$A$2:$A$101,0))</f>
        <v>UPI/payments, negotiation, recruitment, demand forecasting, labour law, valuation, A/B testing, financial modelling</v>
      </c>
      <c r="F163" s="24" t="str">
        <f>INDEX(Resumes!$I$2:$I$101,MATCH(A163,Resumes!$A$2:$A$101,0))</f>
        <v>Suresh Nair, MBA Operations from a tier-3 institute. 1.5 years of experience, most recently at a retail chain. Key skills: UPI/payments, negotiation, recruitment, demand forecasting, labour law, valuation, A/B testing, financial modelling. Achievement: led a 5-member campus marketing team. Career gap: 6-month gap (exam preparation).</v>
      </c>
      <c r="G163" s="24" t="str">
        <f t="shared" si="44"/>
        <v>led a 5-member campus marketing team</v>
      </c>
      <c r="H163" s="24">
        <f>INDEX('Scoring Prompt'!$C$22:$C$23,MATCH(B163,'Scoring Prompt'!$A$22:$A$23,0))</f>
        <v>3</v>
      </c>
      <c r="I163" s="24">
        <f>INDEX('Scoring Prompt'!$D$22:$D$23,MATCH(B163,'Scoring Prompt'!$A$22:$A$23,0))</f>
        <v>6</v>
      </c>
      <c r="J163" s="24">
        <f>INDEX('Scoring Prompt'!$B$27:$C$34,MATCH(C163,'Scoring Prompt'!$A$27:$A$34,0),MATCH(B163,'Scoring Prompt'!$B$26:$C$26,0))</f>
        <v>15</v>
      </c>
      <c r="K163" s="24">
        <f>IF(AND(D163&gt;=H163,D163&lt;=I163),'Scoring Prompt'!$B$47,IF(D163&lt;H163,IF(H163-D163&lt;=1,'Scoring Prompt'!$B$48,IF(H163-D163&lt;=2,'Scoring Prompt'!$B$49,'Scoring Prompt'!$B$50)),IF(D163-I163&lt;=2,'Scoring Prompt'!$B$51,'Scoring Prompt'!$B$52)))</f>
        <v>8</v>
      </c>
      <c r="L163" s="24">
        <f>IF(B163="JD3",SUMPRODUCT(--ISNUMBER(SEARCH('Scoring Prompt'!$E$22:$I$22,E163))),SUMPRODUCT(--ISNUMBER(SEARCH('Scoring Prompt'!$E$23:$I$23,E163))))</f>
        <v>1</v>
      </c>
      <c r="M163" s="24">
        <f t="shared" si="45"/>
        <v>8</v>
      </c>
      <c r="N163" s="24">
        <f>INDEX('Scoring Prompt'!$B$38:$C$43,MATCH(G163,'Scoring Prompt'!$A$38:$A$43,0),MATCH(B163,'Scoring Prompt'!$B$37:$C$37,0))</f>
        <v>5</v>
      </c>
      <c r="O163" s="24">
        <f t="shared" si="46"/>
        <v>36</v>
      </c>
      <c r="P163" s="24">
        <f>'Scored Shortlist'!E163</f>
        <v>15</v>
      </c>
      <c r="Q163" s="24">
        <f>'Scored Shortlist'!F163</f>
        <v>8</v>
      </c>
      <c r="R163" s="24">
        <f>'Scored Shortlist'!G163</f>
        <v>12</v>
      </c>
      <c r="S163" s="24">
        <f>'Scored Shortlist'!H163</f>
        <v>5</v>
      </c>
      <c r="T163" s="24">
        <f>'Scored Shortlist'!I163</f>
        <v>40</v>
      </c>
      <c r="U163" s="24">
        <f>IF('Scored Shortlist'!M163="none",0,(LEN('Scored Shortlist'!M163)-LEN(SUBSTITUTE('Scored Shortlist'!M163,"&lt;-","")))/2)</f>
        <v>1</v>
      </c>
      <c r="V163" s="24">
        <f t="shared" si="47"/>
        <v>1</v>
      </c>
      <c r="W163" s="24">
        <f t="shared" si="48"/>
        <v>1</v>
      </c>
      <c r="X163" s="24">
        <f t="shared" si="49"/>
        <v>1</v>
      </c>
      <c r="Y163" s="24">
        <f t="shared" si="50"/>
        <v>4</v>
      </c>
      <c r="Z163" s="24">
        <f t="shared" si="51"/>
        <v>4</v>
      </c>
      <c r="AA163" s="24">
        <f t="shared" si="52"/>
        <v>1</v>
      </c>
      <c r="AB163" s="25" t="str">
        <f t="shared" si="53"/>
        <v>OK</v>
      </c>
      <c r="AC163" s="24" t="str">
        <f t="shared" si="54"/>
        <v>Not shortlisted</v>
      </c>
      <c r="AD163" s="24" t="str">
        <f>IF(ISNUMBER(SEARCH(" "&amp;LEFT('Scored Shortlist'!B163,FIND(" ",'Scored Shortlist'!B163)-1)&amp;" "," "&amp;'Scored Shortlist'!N163&amp;" ")),"YES","no")</f>
        <v>no</v>
      </c>
    </row>
    <row r="164" spans="1:30" x14ac:dyDescent="0.25">
      <c r="A164" s="24" t="str">
        <f>'Scored Shortlist'!A164</f>
        <v>CV094</v>
      </c>
      <c r="B164" s="24" t="str">
        <f>'Scored Shortlist'!C164</f>
        <v>JD5</v>
      </c>
      <c r="C164" s="24" t="str">
        <f>INDEX(Resumes!$D$2:$D$101,MATCH(A164,Resumes!$A$2:$A$101,0))</f>
        <v>BBA</v>
      </c>
      <c r="D164" s="24">
        <f>INDEX(Resumes!$E$2:$E$101,MATCH(A164,Resumes!$A$2:$A$101,0))</f>
        <v>5.3</v>
      </c>
      <c r="E164" s="24" t="str">
        <f>INDEX(Resumes!$G$2:$G$101,MATCH(A164,Resumes!$A$2:$A$101,0))</f>
        <v>HR analytics, inventory planning, negotiation, Excel, Tableau</v>
      </c>
      <c r="F164" s="24" t="str">
        <f>INDEX(Resumes!$I$2:$I$101,MATCH(A164,Resumes!$A$2:$A$101,0))</f>
        <v>Aarav Khan, BBA from a tier-3 institute. 5.3 years of experience, most recently at a bank. Key skills: HR analytics, inventory planning, negotiation, Excel, Tableau. Achievement: cut reporting time by 40% by automating Excel reports. Career gap: None.</v>
      </c>
      <c r="G164" s="24" t="str">
        <f t="shared" ref="G164:G195" si="55">MID(F164,FIND("Achievement: ",F164)+13,FIND(". Career gap",F164)-FIND("Achievement: ",F164)-13)</f>
        <v>cut reporting time by 40% by automating Excel reports</v>
      </c>
      <c r="H164" s="24">
        <f>INDEX('Scoring Prompt'!$C$22:$C$23,MATCH(B164,'Scoring Prompt'!$A$22:$A$23,0))</f>
        <v>3</v>
      </c>
      <c r="I164" s="24">
        <f>INDEX('Scoring Prompt'!$D$22:$D$23,MATCH(B164,'Scoring Prompt'!$A$22:$A$23,0))</f>
        <v>6</v>
      </c>
      <c r="J164" s="24">
        <f>INDEX('Scoring Prompt'!$B$27:$C$34,MATCH(C164,'Scoring Prompt'!$A$27:$A$34,0),MATCH(B164,'Scoring Prompt'!$B$26:$C$26,0))</f>
        <v>5</v>
      </c>
      <c r="K164" s="24">
        <f>IF(AND(D164&gt;=H164,D164&lt;=I164),'Scoring Prompt'!$B$47,IF(D164&lt;H164,IF(H164-D164&lt;=1,'Scoring Prompt'!$B$48,IF(H164-D164&lt;=2,'Scoring Prompt'!$B$49,'Scoring Prompt'!$B$50)),IF(D164-I164&lt;=2,'Scoring Prompt'!$B$51,'Scoring Prompt'!$B$52)))</f>
        <v>25</v>
      </c>
      <c r="L164" s="24">
        <f>IF(B164="JD3",SUMPRODUCT(--ISNUMBER(SEARCH('Scoring Prompt'!$E$22:$I$22,E164))),SUMPRODUCT(--ISNUMBER(SEARCH('Scoring Prompt'!$E$23:$I$23,E164))))</f>
        <v>0</v>
      </c>
      <c r="M164" s="24">
        <f t="shared" ref="M164:M195" si="56">8*L164</f>
        <v>0</v>
      </c>
      <c r="N164" s="24">
        <f>INDEX('Scoring Prompt'!$B$38:$C$43,MATCH(G164,'Scoring Prompt'!$A$38:$A$43,0),MATCH(B164,'Scoring Prompt'!$B$37:$C$37,0))</f>
        <v>6</v>
      </c>
      <c r="O164" s="24">
        <f t="shared" ref="O164:O195" si="57">J164+K164+M164+N164</f>
        <v>36</v>
      </c>
      <c r="P164" s="24">
        <f>'Scored Shortlist'!E164</f>
        <v>5</v>
      </c>
      <c r="Q164" s="24">
        <f>'Scored Shortlist'!F164</f>
        <v>25</v>
      </c>
      <c r="R164" s="24">
        <f>'Scored Shortlist'!G164</f>
        <v>4</v>
      </c>
      <c r="S164" s="24">
        <f>'Scored Shortlist'!H164</f>
        <v>6</v>
      </c>
      <c r="T164" s="24">
        <f>'Scored Shortlist'!I164</f>
        <v>40</v>
      </c>
      <c r="U164" s="24">
        <f>IF('Scored Shortlist'!M164="none",0,(LEN('Scored Shortlist'!M164)-LEN(SUBSTITUTE('Scored Shortlist'!M164,"&lt;-","")))/2)</f>
        <v>1</v>
      </c>
      <c r="V164" s="24">
        <f t="shared" ref="V164:V195" si="58">IF(P164=J164,1,0)</f>
        <v>1</v>
      </c>
      <c r="W164" s="24">
        <f t="shared" ref="W164:W195" si="59">IF(Q164=K164,1,0)</f>
        <v>1</v>
      </c>
      <c r="X164" s="24">
        <f t="shared" ref="X164:X195" si="60">IF(S164=N164,1,0)</f>
        <v>1</v>
      </c>
      <c r="Y164" s="24">
        <f t="shared" ref="Y164:Y195" si="61">R164-M164</f>
        <v>4</v>
      </c>
      <c r="Z164" s="24">
        <f t="shared" ref="Z164:Z195" si="62">4*U164</f>
        <v>4</v>
      </c>
      <c r="AA164" s="24">
        <f t="shared" ref="AA164:AA195" si="63">IF(Y164=Z164,1,0)</f>
        <v>1</v>
      </c>
      <c r="AB164" s="25" t="str">
        <f t="shared" ref="AB164:AB195" si="64">IF(V164+W164+X164+AA164=4,"OK","CHECK")</f>
        <v>OK</v>
      </c>
      <c r="AC164" s="24" t="str">
        <f t="shared" ref="AC164:AC195" si="65">IF(AND(O164&gt;=SL_CUT,M164&gt;=SL_SKILL),"Shortlist",IF(AND(O164&gt;=RV_CUT,M164&gt;=RV_SKILL),"Review","Not shortlisted"))</f>
        <v>Not shortlisted</v>
      </c>
      <c r="AD164" s="24" t="str">
        <f>IF(ISNUMBER(SEARCH(" "&amp;LEFT('Scored Shortlist'!B164,FIND(" ",'Scored Shortlist'!B164)-1)&amp;" "," "&amp;'Scored Shortlist'!N164&amp;" ")),"YES","no")</f>
        <v>no</v>
      </c>
    </row>
    <row r="165" spans="1:30" x14ac:dyDescent="0.25">
      <c r="A165" s="24" t="str">
        <f>'Scored Shortlist'!A165</f>
        <v>CV007</v>
      </c>
      <c r="B165" s="24" t="str">
        <f>'Scored Shortlist'!C165</f>
        <v>JD5</v>
      </c>
      <c r="C165" s="24" t="str">
        <f>INDEX(Resumes!$D$2:$D$101,MATCH(A165,Resumes!$A$2:$A$101,0))</f>
        <v>MBA Finance</v>
      </c>
      <c r="D165" s="24">
        <f>INDEX(Resumes!$E$2:$E$101,MATCH(A165,Resumes!$A$2:$A$101,0))</f>
        <v>6.9</v>
      </c>
      <c r="E165" s="24" t="str">
        <f>INDEX(Resumes!$G$2:$G$101,MATCH(A165,Resumes!$A$2:$A$101,0))</f>
        <v>recruitment, A/B testing, employee relations, valuation</v>
      </c>
      <c r="F165" s="24" t="str">
        <f>INDEX(Resumes!$I$2:$I$101,MATCH(A165,Resumes!$A$2:$A$101,0))</f>
        <v>Gauri Agarwal, MBA Finance from a tier-2 institute. 6.9 years of experience, most recently at a retail chain. Key skills: recruitment, A/B testing, employee relations, valuation. Achievement: no major achievement listed. Career gap: 6-month gap (exam preparation).</v>
      </c>
      <c r="G165" s="24" t="str">
        <f t="shared" si="55"/>
        <v>no major achievement listed</v>
      </c>
      <c r="H165" s="24">
        <f>INDEX('Scoring Prompt'!$C$22:$C$23,MATCH(B165,'Scoring Prompt'!$A$22:$A$23,0))</f>
        <v>3</v>
      </c>
      <c r="I165" s="24">
        <f>INDEX('Scoring Prompt'!$D$22:$D$23,MATCH(B165,'Scoring Prompt'!$A$22:$A$23,0))</f>
        <v>6</v>
      </c>
      <c r="J165" s="24">
        <f>INDEX('Scoring Prompt'!$B$27:$C$34,MATCH(C165,'Scoring Prompt'!$A$27:$A$34,0),MATCH(B165,'Scoring Prompt'!$B$26:$C$26,0))</f>
        <v>15</v>
      </c>
      <c r="K165" s="24">
        <f>IF(AND(D165&gt;=H165,D165&lt;=I165),'Scoring Prompt'!$B$47,IF(D165&lt;H165,IF(H165-D165&lt;=1,'Scoring Prompt'!$B$48,IF(H165-D165&lt;=2,'Scoring Prompt'!$B$49,'Scoring Prompt'!$B$50)),IF(D165-I165&lt;=2,'Scoring Prompt'!$B$51,'Scoring Prompt'!$B$52)))</f>
        <v>20</v>
      </c>
      <c r="L165" s="24">
        <f>IF(B165="JD3",SUMPRODUCT(--ISNUMBER(SEARCH('Scoring Prompt'!$E$22:$I$22,E165))),SUMPRODUCT(--ISNUMBER(SEARCH('Scoring Prompt'!$E$23:$I$23,E165))))</f>
        <v>0</v>
      </c>
      <c r="M165" s="24">
        <f t="shared" si="56"/>
        <v>0</v>
      </c>
      <c r="N165" s="24">
        <f>INDEX('Scoring Prompt'!$B$38:$C$43,MATCH(G165,'Scoring Prompt'!$A$38:$A$43,0),MATCH(B165,'Scoring Prompt'!$B$37:$C$37,0))</f>
        <v>0</v>
      </c>
      <c r="O165" s="24">
        <f t="shared" si="57"/>
        <v>35</v>
      </c>
      <c r="P165" s="24">
        <f>'Scored Shortlist'!E165</f>
        <v>15</v>
      </c>
      <c r="Q165" s="24">
        <f>'Scored Shortlist'!F165</f>
        <v>20</v>
      </c>
      <c r="R165" s="24">
        <f>'Scored Shortlist'!G165</f>
        <v>4</v>
      </c>
      <c r="S165" s="24">
        <f>'Scored Shortlist'!H165</f>
        <v>0</v>
      </c>
      <c r="T165" s="24">
        <f>'Scored Shortlist'!I165</f>
        <v>39</v>
      </c>
      <c r="U165" s="24">
        <f>IF('Scored Shortlist'!M165="none",0,(LEN('Scored Shortlist'!M165)-LEN(SUBSTITUTE('Scored Shortlist'!M165,"&lt;-","")))/2)</f>
        <v>1</v>
      </c>
      <c r="V165" s="24">
        <f t="shared" si="58"/>
        <v>1</v>
      </c>
      <c r="W165" s="24">
        <f t="shared" si="59"/>
        <v>1</v>
      </c>
      <c r="X165" s="24">
        <f t="shared" si="60"/>
        <v>1</v>
      </c>
      <c r="Y165" s="24">
        <f t="shared" si="61"/>
        <v>4</v>
      </c>
      <c r="Z165" s="24">
        <f t="shared" si="62"/>
        <v>4</v>
      </c>
      <c r="AA165" s="24">
        <f t="shared" si="63"/>
        <v>1</v>
      </c>
      <c r="AB165" s="25" t="str">
        <f t="shared" si="64"/>
        <v>OK</v>
      </c>
      <c r="AC165" s="24" t="str">
        <f t="shared" si="65"/>
        <v>Not shortlisted</v>
      </c>
      <c r="AD165" s="24" t="str">
        <f>IF(ISNUMBER(SEARCH(" "&amp;LEFT('Scored Shortlist'!B165,FIND(" ",'Scored Shortlist'!B165)-1)&amp;" "," "&amp;'Scored Shortlist'!N165&amp;" ")),"YES","no")</f>
        <v>no</v>
      </c>
    </row>
    <row r="166" spans="1:30" x14ac:dyDescent="0.25">
      <c r="A166" s="24" t="str">
        <f>'Scored Shortlist'!A166</f>
        <v>CV010</v>
      </c>
      <c r="B166" s="24" t="str">
        <f>'Scored Shortlist'!C166</f>
        <v>JD5</v>
      </c>
      <c r="C166" s="24" t="str">
        <f>INDEX(Resumes!$D$2:$D$101,MATCH(A166,Resumes!$A$2:$A$101,0))</f>
        <v>B.Com</v>
      </c>
      <c r="D166" s="24">
        <f>INDEX(Resumes!$E$2:$E$101,MATCH(A166,Resumes!$A$2:$A$101,0))</f>
        <v>2.6</v>
      </c>
      <c r="E166" s="24" t="str">
        <f>INDEX(Resumes!$G$2:$G$101,MATCH(A166,Resumes!$A$2:$A$101,0))</f>
        <v>demand forecasting, employee relations, SQL, inventory planning, product roadmap, SAP MM, negotiation, content writing</v>
      </c>
      <c r="F166" s="24" t="str">
        <f>INDEX(Resumes!$I$2:$I$101,MATCH(A166,Resumes!$A$2:$A$101,0))</f>
        <v>Madhuri Agarwal, B.Com from a tier-3 institute. 2.6 years of experience, most recently at a manufacturing company. Key skills: demand forecasting, employee relations, SQL, inventory planning, product roadmap, SAP MM, negotiation, content writing. Achievement: handled 120 hires in one year. Career gap: None.</v>
      </c>
      <c r="G166" s="24" t="str">
        <f t="shared" si="55"/>
        <v>handled 120 hires in one year</v>
      </c>
      <c r="H166" s="24">
        <f>INDEX('Scoring Prompt'!$C$22:$C$23,MATCH(B166,'Scoring Prompt'!$A$22:$A$23,0))</f>
        <v>3</v>
      </c>
      <c r="I166" s="24">
        <f>INDEX('Scoring Prompt'!$D$22:$D$23,MATCH(B166,'Scoring Prompt'!$A$22:$A$23,0))</f>
        <v>6</v>
      </c>
      <c r="J166" s="24">
        <f>INDEX('Scoring Prompt'!$B$27:$C$34,MATCH(C166,'Scoring Prompt'!$A$27:$A$34,0),MATCH(B166,'Scoring Prompt'!$B$26:$C$26,0))</f>
        <v>5</v>
      </c>
      <c r="K166" s="24">
        <f>IF(AND(D166&gt;=H166,D166&lt;=I166),'Scoring Prompt'!$B$47,IF(D166&lt;H166,IF(H166-D166&lt;=1,'Scoring Prompt'!$B$48,IF(H166-D166&lt;=2,'Scoring Prompt'!$B$49,'Scoring Prompt'!$B$50)),IF(D166-I166&lt;=2,'Scoring Prompt'!$B$51,'Scoring Prompt'!$B$52)))</f>
        <v>15</v>
      </c>
      <c r="L166" s="24">
        <f>IF(B166="JD3",SUMPRODUCT(--ISNUMBER(SEARCH('Scoring Prompt'!$E$22:$I$22,E166))),SUMPRODUCT(--ISNUMBER(SEARCH('Scoring Prompt'!$E$23:$I$23,E166))))</f>
        <v>2</v>
      </c>
      <c r="M166" s="24">
        <f t="shared" si="56"/>
        <v>16</v>
      </c>
      <c r="N166" s="24">
        <f>INDEX('Scoring Prompt'!$B$38:$C$43,MATCH(G166,'Scoring Prompt'!$A$38:$A$43,0),MATCH(B166,'Scoring Prompt'!$B$37:$C$37,0))</f>
        <v>3</v>
      </c>
      <c r="O166" s="24">
        <f t="shared" si="57"/>
        <v>39</v>
      </c>
      <c r="P166" s="24">
        <f>'Scored Shortlist'!E166</f>
        <v>5</v>
      </c>
      <c r="Q166" s="24">
        <f>'Scored Shortlist'!F166</f>
        <v>15</v>
      </c>
      <c r="R166" s="24">
        <f>'Scored Shortlist'!G166</f>
        <v>16</v>
      </c>
      <c r="S166" s="24">
        <f>'Scored Shortlist'!H166</f>
        <v>3</v>
      </c>
      <c r="T166" s="24">
        <f>'Scored Shortlist'!I166</f>
        <v>39</v>
      </c>
      <c r="U166" s="24">
        <f>IF('Scored Shortlist'!M166="none",0,(LEN('Scored Shortlist'!M166)-LEN(SUBSTITUTE('Scored Shortlist'!M166,"&lt;-","")))/2)</f>
        <v>0</v>
      </c>
      <c r="V166" s="24">
        <f t="shared" si="58"/>
        <v>1</v>
      </c>
      <c r="W166" s="24">
        <f t="shared" si="59"/>
        <v>1</v>
      </c>
      <c r="X166" s="24">
        <f t="shared" si="60"/>
        <v>1</v>
      </c>
      <c r="Y166" s="24">
        <f t="shared" si="61"/>
        <v>0</v>
      </c>
      <c r="Z166" s="24">
        <f t="shared" si="62"/>
        <v>0</v>
      </c>
      <c r="AA166" s="24">
        <f t="shared" si="63"/>
        <v>1</v>
      </c>
      <c r="AB166" s="25" t="str">
        <f t="shared" si="64"/>
        <v>OK</v>
      </c>
      <c r="AC166" s="24" t="str">
        <f t="shared" si="65"/>
        <v>Not shortlisted</v>
      </c>
      <c r="AD166" s="24" t="str">
        <f>IF(ISNUMBER(SEARCH(" "&amp;LEFT('Scored Shortlist'!B166,FIND(" ",'Scored Shortlist'!B166)-1)&amp;" "," "&amp;'Scored Shortlist'!N166&amp;" ")),"YES","no")</f>
        <v>no</v>
      </c>
    </row>
    <row r="167" spans="1:30" x14ac:dyDescent="0.25">
      <c r="A167" s="24" t="str">
        <f>'Scored Shortlist'!A167</f>
        <v>CV017</v>
      </c>
      <c r="B167" s="24" t="str">
        <f>'Scored Shortlist'!C167</f>
        <v>JD5</v>
      </c>
      <c r="C167" s="24" t="str">
        <f>INDEX(Resumes!$D$2:$D$101,MATCH(A167,Resumes!$A$2:$A$101,0))</f>
        <v>BBA</v>
      </c>
      <c r="D167" s="24">
        <f>INDEX(Resumes!$E$2:$E$101,MATCH(A167,Resumes!$A$2:$A$101,0))</f>
        <v>7.2</v>
      </c>
      <c r="E167" s="24" t="str">
        <f>INDEX(Resumes!$G$2:$G$101,MATCH(A167,Resumes!$A$2:$A$101,0))</f>
        <v>SQL, inventory planning, public speaking, HR analytics, campaign management, negotiation</v>
      </c>
      <c r="F167" s="24" t="str">
        <f>INDEX(Resumes!$I$2:$I$101,MATCH(A167,Resumes!$A$2:$A$101,0))</f>
        <v>Riya Menon, BBA from a tier-2 institute. 7.2 years of experience, most recently at an IT services firm. Key skills: SQL, inventory planning, public speaking, HR analytics, campaign management, negotiation. Achievement: cut reporting time by 40% by automating Excel reports. Career gap: 1-year career break (family).</v>
      </c>
      <c r="G167" s="24" t="str">
        <f t="shared" si="55"/>
        <v>cut reporting time by 40% by automating Excel reports</v>
      </c>
      <c r="H167" s="24">
        <f>INDEX('Scoring Prompt'!$C$22:$C$23,MATCH(B167,'Scoring Prompt'!$A$22:$A$23,0))</f>
        <v>3</v>
      </c>
      <c r="I167" s="24">
        <f>INDEX('Scoring Prompt'!$D$22:$D$23,MATCH(B167,'Scoring Prompt'!$A$22:$A$23,0))</f>
        <v>6</v>
      </c>
      <c r="J167" s="24">
        <f>INDEX('Scoring Prompt'!$B$27:$C$34,MATCH(C167,'Scoring Prompt'!$A$27:$A$34,0),MATCH(B167,'Scoring Prompt'!$B$26:$C$26,0))</f>
        <v>5</v>
      </c>
      <c r="K167" s="24">
        <f>IF(AND(D167&gt;=H167,D167&lt;=I167),'Scoring Prompt'!$B$47,IF(D167&lt;H167,IF(H167-D167&lt;=1,'Scoring Prompt'!$B$48,IF(H167-D167&lt;=2,'Scoring Prompt'!$B$49,'Scoring Prompt'!$B$50)),IF(D167-I167&lt;=2,'Scoring Prompt'!$B$51,'Scoring Prompt'!$B$52)))</f>
        <v>20</v>
      </c>
      <c r="L167" s="24">
        <f>IF(B167="JD3",SUMPRODUCT(--ISNUMBER(SEARCH('Scoring Prompt'!$E$22:$I$22,E167))),SUMPRODUCT(--ISNUMBER(SEARCH('Scoring Prompt'!$E$23:$I$23,E167))))</f>
        <v>1</v>
      </c>
      <c r="M167" s="24">
        <f t="shared" si="56"/>
        <v>8</v>
      </c>
      <c r="N167" s="24">
        <f>INDEX('Scoring Prompt'!$B$38:$C$43,MATCH(G167,'Scoring Prompt'!$A$38:$A$43,0),MATCH(B167,'Scoring Prompt'!$B$37:$C$37,0))</f>
        <v>6</v>
      </c>
      <c r="O167" s="24">
        <f t="shared" si="57"/>
        <v>39</v>
      </c>
      <c r="P167" s="24">
        <f>'Scored Shortlist'!E167</f>
        <v>5</v>
      </c>
      <c r="Q167" s="24">
        <f>'Scored Shortlist'!F167</f>
        <v>20</v>
      </c>
      <c r="R167" s="24">
        <f>'Scored Shortlist'!G167</f>
        <v>8</v>
      </c>
      <c r="S167" s="24">
        <f>'Scored Shortlist'!H167</f>
        <v>6</v>
      </c>
      <c r="T167" s="24">
        <f>'Scored Shortlist'!I167</f>
        <v>39</v>
      </c>
      <c r="U167" s="24">
        <f>IF('Scored Shortlist'!M167="none",0,(LEN('Scored Shortlist'!M167)-LEN(SUBSTITUTE('Scored Shortlist'!M167,"&lt;-","")))/2)</f>
        <v>0</v>
      </c>
      <c r="V167" s="24">
        <f t="shared" si="58"/>
        <v>1</v>
      </c>
      <c r="W167" s="24">
        <f t="shared" si="59"/>
        <v>1</v>
      </c>
      <c r="X167" s="24">
        <f t="shared" si="60"/>
        <v>1</v>
      </c>
      <c r="Y167" s="24">
        <f t="shared" si="61"/>
        <v>0</v>
      </c>
      <c r="Z167" s="24">
        <f t="shared" si="62"/>
        <v>0</v>
      </c>
      <c r="AA167" s="24">
        <f t="shared" si="63"/>
        <v>1</v>
      </c>
      <c r="AB167" s="25" t="str">
        <f t="shared" si="64"/>
        <v>OK</v>
      </c>
      <c r="AC167" s="24" t="str">
        <f t="shared" si="65"/>
        <v>Not shortlisted</v>
      </c>
      <c r="AD167" s="24" t="str">
        <f>IF(ISNUMBER(SEARCH(" "&amp;LEFT('Scored Shortlist'!B167,FIND(" ",'Scored Shortlist'!B167)-1)&amp;" "," "&amp;'Scored Shortlist'!N167&amp;" ")),"YES","no")</f>
        <v>no</v>
      </c>
    </row>
    <row r="168" spans="1:30" x14ac:dyDescent="0.25">
      <c r="A168" s="24" t="str">
        <f>'Scored Shortlist'!A168</f>
        <v>CV075</v>
      </c>
      <c r="B168" s="24" t="str">
        <f>'Scored Shortlist'!C168</f>
        <v>JD5</v>
      </c>
      <c r="C168" s="24" t="str">
        <f>INDEX(Resumes!$D$2:$D$101,MATCH(A168,Resumes!$A$2:$A$101,0))</f>
        <v>MBA Marketing</v>
      </c>
      <c r="D168" s="24">
        <f>INDEX(Resumes!$E$2:$E$101,MATCH(A168,Resumes!$A$2:$A$101,0))</f>
        <v>8.1999999999999993</v>
      </c>
      <c r="E168" s="24" t="str">
        <f>INDEX(Resumes!$G$2:$G$101,MATCH(A168,Resumes!$A$2:$A$101,0))</f>
        <v>campaign management, Excel, agile, Google Analytics, labour law, valuation, vendor management</v>
      </c>
      <c r="F168" s="24" t="str">
        <f>INDEX(Resumes!$I$2:$I$101,MATCH(A168,Resumes!$A$2:$A$101,0))</f>
        <v>Nikhil Pillai, MBA Marketing from a tier-3 institute. 8.2 years of experience, most recently at a consulting firm. Key skills: campaign management, Excel, agile, Google Analytics, labour law, valuation, vendor management. Achievement: handled 120 hires in one year. Career gap: 6-month gap (exam preparation).</v>
      </c>
      <c r="G168" s="24" t="str">
        <f t="shared" si="55"/>
        <v>handled 120 hires in one year</v>
      </c>
      <c r="H168" s="24">
        <f>INDEX('Scoring Prompt'!$C$22:$C$23,MATCH(B168,'Scoring Prompt'!$A$22:$A$23,0))</f>
        <v>3</v>
      </c>
      <c r="I168" s="24">
        <f>INDEX('Scoring Prompt'!$D$22:$D$23,MATCH(B168,'Scoring Prompt'!$A$22:$A$23,0))</f>
        <v>6</v>
      </c>
      <c r="J168" s="24">
        <f>INDEX('Scoring Prompt'!$B$27:$C$34,MATCH(C168,'Scoring Prompt'!$A$27:$A$34,0),MATCH(B168,'Scoring Prompt'!$B$26:$C$26,0))</f>
        <v>15</v>
      </c>
      <c r="K168" s="24">
        <f>IF(AND(D168&gt;=H168,D168&lt;=I168),'Scoring Prompt'!$B$47,IF(D168&lt;H168,IF(H168-D168&lt;=1,'Scoring Prompt'!$B$48,IF(H168-D168&lt;=2,'Scoring Prompt'!$B$49,'Scoring Prompt'!$B$50)),IF(D168-I168&lt;=2,'Scoring Prompt'!$B$51,'Scoring Prompt'!$B$52)))</f>
        <v>12</v>
      </c>
      <c r="L168" s="24">
        <f>IF(B168="JD3",SUMPRODUCT(--ISNUMBER(SEARCH('Scoring Prompt'!$E$22:$I$22,E168))),SUMPRODUCT(--ISNUMBER(SEARCH('Scoring Prompt'!$E$23:$I$23,E168))))</f>
        <v>1</v>
      </c>
      <c r="M168" s="24">
        <f t="shared" si="56"/>
        <v>8</v>
      </c>
      <c r="N168" s="24">
        <f>INDEX('Scoring Prompt'!$B$38:$C$43,MATCH(G168,'Scoring Prompt'!$A$38:$A$43,0),MATCH(B168,'Scoring Prompt'!$B$37:$C$37,0))</f>
        <v>3</v>
      </c>
      <c r="O168" s="24">
        <f t="shared" si="57"/>
        <v>38</v>
      </c>
      <c r="P168" s="24">
        <f>'Scored Shortlist'!E168</f>
        <v>15</v>
      </c>
      <c r="Q168" s="24">
        <f>'Scored Shortlist'!F168</f>
        <v>12</v>
      </c>
      <c r="R168" s="24">
        <f>'Scored Shortlist'!G168</f>
        <v>8</v>
      </c>
      <c r="S168" s="24">
        <f>'Scored Shortlist'!H168</f>
        <v>3</v>
      </c>
      <c r="T168" s="24">
        <f>'Scored Shortlist'!I168</f>
        <v>38</v>
      </c>
      <c r="U168" s="24">
        <f>IF('Scored Shortlist'!M168="none",0,(LEN('Scored Shortlist'!M168)-LEN(SUBSTITUTE('Scored Shortlist'!M168,"&lt;-","")))/2)</f>
        <v>0</v>
      </c>
      <c r="V168" s="24">
        <f t="shared" si="58"/>
        <v>1</v>
      </c>
      <c r="W168" s="24">
        <f t="shared" si="59"/>
        <v>1</v>
      </c>
      <c r="X168" s="24">
        <f t="shared" si="60"/>
        <v>1</v>
      </c>
      <c r="Y168" s="24">
        <f t="shared" si="61"/>
        <v>0</v>
      </c>
      <c r="Z168" s="24">
        <f t="shared" si="62"/>
        <v>0</v>
      </c>
      <c r="AA168" s="24">
        <f t="shared" si="63"/>
        <v>1</v>
      </c>
      <c r="AB168" s="25" t="str">
        <f t="shared" si="64"/>
        <v>OK</v>
      </c>
      <c r="AC168" s="24" t="str">
        <f t="shared" si="65"/>
        <v>Not shortlisted</v>
      </c>
      <c r="AD168" s="24" t="str">
        <f>IF(ISNUMBER(SEARCH(" "&amp;LEFT('Scored Shortlist'!B168,FIND(" ",'Scored Shortlist'!B168)-1)&amp;" "," "&amp;'Scored Shortlist'!N168&amp;" ")),"YES","no")</f>
        <v>no</v>
      </c>
    </row>
    <row r="169" spans="1:30" x14ac:dyDescent="0.25">
      <c r="A169" s="24" t="str">
        <f>'Scored Shortlist'!A169</f>
        <v>CV002</v>
      </c>
      <c r="B169" s="24" t="str">
        <f>'Scored Shortlist'!C169</f>
        <v>JD5</v>
      </c>
      <c r="C169" s="24" t="str">
        <f>INDEX(Resumes!$D$2:$D$101,MATCH(A169,Resumes!$A$2:$A$101,0))</f>
        <v>B.Com</v>
      </c>
      <c r="D169" s="24">
        <f>INDEX(Resumes!$E$2:$E$101,MATCH(A169,Resumes!$A$2:$A$101,0))</f>
        <v>8</v>
      </c>
      <c r="E169" s="24" t="str">
        <f>INDEX(Resumes!$G$2:$G$101,MATCH(A169,Resumes!$A$2:$A$101,0))</f>
        <v>recruitment, Tableau, HR analytics, SQL, Google Analytics</v>
      </c>
      <c r="F169" s="24" t="str">
        <f>INDEX(Resumes!$I$2:$I$101,MATCH(A169,Resumes!$A$2:$A$101,0))</f>
        <v>Swati Das, B.Com from a tier-2 institute. 8.0 years of experience, most recently at an FMCG distributor. Key skills: recruitment, Tableau, HR analytics, SQL, Google Analytics. Achievement: improved vendor on-time delivery from 78% to 92%. Career gap: None.</v>
      </c>
      <c r="G169" s="24" t="str">
        <f t="shared" si="55"/>
        <v>improved vendor on-time delivery from 78% to 92%</v>
      </c>
      <c r="H169" s="24">
        <f>INDEX('Scoring Prompt'!$C$22:$C$23,MATCH(B169,'Scoring Prompt'!$A$22:$A$23,0))</f>
        <v>3</v>
      </c>
      <c r="I169" s="24">
        <f>INDEX('Scoring Prompt'!$D$22:$D$23,MATCH(B169,'Scoring Prompt'!$A$22:$A$23,0))</f>
        <v>6</v>
      </c>
      <c r="J169" s="24">
        <f>INDEX('Scoring Prompt'!$B$27:$C$34,MATCH(C169,'Scoring Prompt'!$A$27:$A$34,0),MATCH(B169,'Scoring Prompt'!$B$26:$C$26,0))</f>
        <v>5</v>
      </c>
      <c r="K169" s="24">
        <f>IF(AND(D169&gt;=H169,D169&lt;=I169),'Scoring Prompt'!$B$47,IF(D169&lt;H169,IF(H169-D169&lt;=1,'Scoring Prompt'!$B$48,IF(H169-D169&lt;=2,'Scoring Prompt'!$B$49,'Scoring Prompt'!$B$50)),IF(D169-I169&lt;=2,'Scoring Prompt'!$B$51,'Scoring Prompt'!$B$52)))</f>
        <v>20</v>
      </c>
      <c r="L169" s="24">
        <f>IF(B169="JD3",SUMPRODUCT(--ISNUMBER(SEARCH('Scoring Prompt'!$E$22:$I$22,E169))),SUMPRODUCT(--ISNUMBER(SEARCH('Scoring Prompt'!$E$23:$I$23,E169))))</f>
        <v>1</v>
      </c>
      <c r="M169" s="24">
        <f t="shared" si="56"/>
        <v>8</v>
      </c>
      <c r="N169" s="24">
        <f>INDEX('Scoring Prompt'!$B$38:$C$43,MATCH(G169,'Scoring Prompt'!$A$38:$A$43,0),MATCH(B169,'Scoring Prompt'!$B$37:$C$37,0))</f>
        <v>4</v>
      </c>
      <c r="O169" s="24">
        <f t="shared" si="57"/>
        <v>37</v>
      </c>
      <c r="P169" s="24">
        <f>'Scored Shortlist'!E169</f>
        <v>5</v>
      </c>
      <c r="Q169" s="24">
        <f>'Scored Shortlist'!F169</f>
        <v>20</v>
      </c>
      <c r="R169" s="24">
        <f>'Scored Shortlist'!G169</f>
        <v>8</v>
      </c>
      <c r="S169" s="24">
        <f>'Scored Shortlist'!H169</f>
        <v>4</v>
      </c>
      <c r="T169" s="24">
        <f>'Scored Shortlist'!I169</f>
        <v>37</v>
      </c>
      <c r="U169" s="24">
        <f>IF('Scored Shortlist'!M169="none",0,(LEN('Scored Shortlist'!M169)-LEN(SUBSTITUTE('Scored Shortlist'!M169,"&lt;-","")))/2)</f>
        <v>0</v>
      </c>
      <c r="V169" s="24">
        <f t="shared" si="58"/>
        <v>1</v>
      </c>
      <c r="W169" s="24">
        <f t="shared" si="59"/>
        <v>1</v>
      </c>
      <c r="X169" s="24">
        <f t="shared" si="60"/>
        <v>1</v>
      </c>
      <c r="Y169" s="24">
        <f t="shared" si="61"/>
        <v>0</v>
      </c>
      <c r="Z169" s="24">
        <f t="shared" si="62"/>
        <v>0</v>
      </c>
      <c r="AA169" s="24">
        <f t="shared" si="63"/>
        <v>1</v>
      </c>
      <c r="AB169" s="25" t="str">
        <f t="shared" si="64"/>
        <v>OK</v>
      </c>
      <c r="AC169" s="24" t="str">
        <f t="shared" si="65"/>
        <v>Not shortlisted</v>
      </c>
      <c r="AD169" s="24" t="str">
        <f>IF(ISNUMBER(SEARCH(" "&amp;LEFT('Scored Shortlist'!B169,FIND(" ",'Scored Shortlist'!B169)-1)&amp;" "," "&amp;'Scored Shortlist'!N169&amp;" ")),"YES","no")</f>
        <v>no</v>
      </c>
    </row>
    <row r="170" spans="1:30" x14ac:dyDescent="0.25">
      <c r="A170" s="24" t="str">
        <f>'Scored Shortlist'!A170</f>
        <v>CV097</v>
      </c>
      <c r="B170" s="24" t="str">
        <f>'Scored Shortlist'!C170</f>
        <v>JD5</v>
      </c>
      <c r="C170" s="24" t="str">
        <f>INDEX(Resumes!$D$2:$D$101,MATCH(A170,Resumes!$A$2:$A$101,0))</f>
        <v>B.Com</v>
      </c>
      <c r="D170" s="24">
        <f>INDEX(Resumes!$E$2:$E$101,MATCH(A170,Resumes!$A$2:$A$101,0))</f>
        <v>7.9</v>
      </c>
      <c r="E170" s="24" t="str">
        <f>INDEX(Resumes!$G$2:$G$101,MATCH(A170,Resumes!$A$2:$A$101,0))</f>
        <v>valuation, inventory planning, financial modelling, employee relations, SQL</v>
      </c>
      <c r="F170" s="24" t="str">
        <f>INDEX(Resumes!$I$2:$I$101,MATCH(A170,Resumes!$A$2:$A$101,0))</f>
        <v>Manish Iyer, B.Com from a tier-2 institute. 7.9 years of experience, most recently at a manufacturing company. Key skills: valuation, inventory planning, financial modelling, employee relations, SQL. Achievement: improved vendor on-time delivery from 78% to 92%. Career gap: None.</v>
      </c>
      <c r="G170" s="24" t="str">
        <f t="shared" si="55"/>
        <v>improved vendor on-time delivery from 78% to 92%</v>
      </c>
      <c r="H170" s="24">
        <f>INDEX('Scoring Prompt'!$C$22:$C$23,MATCH(B170,'Scoring Prompt'!$A$22:$A$23,0))</f>
        <v>3</v>
      </c>
      <c r="I170" s="24">
        <f>INDEX('Scoring Prompt'!$D$22:$D$23,MATCH(B170,'Scoring Prompt'!$A$22:$A$23,0))</f>
        <v>6</v>
      </c>
      <c r="J170" s="24">
        <f>INDEX('Scoring Prompt'!$B$27:$C$34,MATCH(C170,'Scoring Prompt'!$A$27:$A$34,0),MATCH(B170,'Scoring Prompt'!$B$26:$C$26,0))</f>
        <v>5</v>
      </c>
      <c r="K170" s="24">
        <f>IF(AND(D170&gt;=H170,D170&lt;=I170),'Scoring Prompt'!$B$47,IF(D170&lt;H170,IF(H170-D170&lt;=1,'Scoring Prompt'!$B$48,IF(H170-D170&lt;=2,'Scoring Prompt'!$B$49,'Scoring Prompt'!$B$50)),IF(D170-I170&lt;=2,'Scoring Prompt'!$B$51,'Scoring Prompt'!$B$52)))</f>
        <v>20</v>
      </c>
      <c r="L170" s="24">
        <f>IF(B170="JD3",SUMPRODUCT(--ISNUMBER(SEARCH('Scoring Prompt'!$E$22:$I$22,E170))),SUMPRODUCT(--ISNUMBER(SEARCH('Scoring Prompt'!$E$23:$I$23,E170))))</f>
        <v>1</v>
      </c>
      <c r="M170" s="24">
        <f t="shared" si="56"/>
        <v>8</v>
      </c>
      <c r="N170" s="24">
        <f>INDEX('Scoring Prompt'!$B$38:$C$43,MATCH(G170,'Scoring Prompt'!$A$38:$A$43,0),MATCH(B170,'Scoring Prompt'!$B$37:$C$37,0))</f>
        <v>4</v>
      </c>
      <c r="O170" s="24">
        <f t="shared" si="57"/>
        <v>37</v>
      </c>
      <c r="P170" s="24">
        <f>'Scored Shortlist'!E170</f>
        <v>5</v>
      </c>
      <c r="Q170" s="24">
        <f>'Scored Shortlist'!F170</f>
        <v>20</v>
      </c>
      <c r="R170" s="24">
        <f>'Scored Shortlist'!G170</f>
        <v>8</v>
      </c>
      <c r="S170" s="24">
        <f>'Scored Shortlist'!H170</f>
        <v>4</v>
      </c>
      <c r="T170" s="24">
        <f>'Scored Shortlist'!I170</f>
        <v>37</v>
      </c>
      <c r="U170" s="24">
        <f>IF('Scored Shortlist'!M170="none",0,(LEN('Scored Shortlist'!M170)-LEN(SUBSTITUTE('Scored Shortlist'!M170,"&lt;-","")))/2)</f>
        <v>0</v>
      </c>
      <c r="V170" s="24">
        <f t="shared" si="58"/>
        <v>1</v>
      </c>
      <c r="W170" s="24">
        <f t="shared" si="59"/>
        <v>1</v>
      </c>
      <c r="X170" s="24">
        <f t="shared" si="60"/>
        <v>1</v>
      </c>
      <c r="Y170" s="24">
        <f t="shared" si="61"/>
        <v>0</v>
      </c>
      <c r="Z170" s="24">
        <f t="shared" si="62"/>
        <v>0</v>
      </c>
      <c r="AA170" s="24">
        <f t="shared" si="63"/>
        <v>1</v>
      </c>
      <c r="AB170" s="25" t="str">
        <f t="shared" si="64"/>
        <v>OK</v>
      </c>
      <c r="AC170" s="24" t="str">
        <f t="shared" si="65"/>
        <v>Not shortlisted</v>
      </c>
      <c r="AD170" s="24" t="str">
        <f>IF(ISNUMBER(SEARCH(" "&amp;LEFT('Scored Shortlist'!B170,FIND(" ",'Scored Shortlist'!B170)-1)&amp;" "," "&amp;'Scored Shortlist'!N170&amp;" ")),"YES","no")</f>
        <v>no</v>
      </c>
    </row>
    <row r="171" spans="1:30" x14ac:dyDescent="0.25">
      <c r="A171" s="24" t="str">
        <f>'Scored Shortlist'!A171</f>
        <v>CV037</v>
      </c>
      <c r="B171" s="24" t="str">
        <f>'Scored Shortlist'!C171</f>
        <v>JD5</v>
      </c>
      <c r="C171" s="24" t="str">
        <f>INDEX(Resumes!$D$2:$D$101,MATCH(A171,Resumes!$A$2:$A$101,0))</f>
        <v>BBA</v>
      </c>
      <c r="D171" s="24">
        <f>INDEX(Resumes!$E$2:$E$101,MATCH(A171,Resumes!$A$2:$A$101,0))</f>
        <v>6.6</v>
      </c>
      <c r="E171" s="24" t="str">
        <f>INDEX(Resumes!$G$2:$G$101,MATCH(A171,Resumes!$A$2:$A$101,0))</f>
        <v>Tableau, content writing, HR analytics, Python, SQL, stakeholder management</v>
      </c>
      <c r="F171" s="24" t="str">
        <f>INDEX(Resumes!$I$2:$I$101,MATCH(A171,Resumes!$A$2:$A$101,0))</f>
        <v>Divya Agarwal, BBA from a tier-2 institute. 6.6 years of experience, most recently at an FMCG distributor. Key skills: Tableau, content writing, HR analytics, Python, SQL, stakeholder management. Achievement: handled 120 hires in one year. Career gap: None.</v>
      </c>
      <c r="G171" s="24" t="str">
        <f t="shared" si="55"/>
        <v>handled 120 hires in one year</v>
      </c>
      <c r="H171" s="24">
        <f>INDEX('Scoring Prompt'!$C$22:$C$23,MATCH(B171,'Scoring Prompt'!$A$22:$A$23,0))</f>
        <v>3</v>
      </c>
      <c r="I171" s="24">
        <f>INDEX('Scoring Prompt'!$D$22:$D$23,MATCH(B171,'Scoring Prompt'!$A$22:$A$23,0))</f>
        <v>6</v>
      </c>
      <c r="J171" s="24">
        <f>INDEX('Scoring Prompt'!$B$27:$C$34,MATCH(C171,'Scoring Prompt'!$A$27:$A$34,0),MATCH(B171,'Scoring Prompt'!$B$26:$C$26,0))</f>
        <v>5</v>
      </c>
      <c r="K171" s="24">
        <f>IF(AND(D171&gt;=H171,D171&lt;=I171),'Scoring Prompt'!$B$47,IF(D171&lt;H171,IF(H171-D171&lt;=1,'Scoring Prompt'!$B$48,IF(H171-D171&lt;=2,'Scoring Prompt'!$B$49,'Scoring Prompt'!$B$50)),IF(D171-I171&lt;=2,'Scoring Prompt'!$B$51,'Scoring Prompt'!$B$52)))</f>
        <v>20</v>
      </c>
      <c r="L171" s="24">
        <f>IF(B171="JD3",SUMPRODUCT(--ISNUMBER(SEARCH('Scoring Prompt'!$E$22:$I$22,E171))),SUMPRODUCT(--ISNUMBER(SEARCH('Scoring Prompt'!$E$23:$I$23,E171))))</f>
        <v>1</v>
      </c>
      <c r="M171" s="24">
        <f t="shared" si="56"/>
        <v>8</v>
      </c>
      <c r="N171" s="24">
        <f>INDEX('Scoring Prompt'!$B$38:$C$43,MATCH(G171,'Scoring Prompt'!$A$38:$A$43,0),MATCH(B171,'Scoring Prompt'!$B$37:$C$37,0))</f>
        <v>3</v>
      </c>
      <c r="O171" s="24">
        <f t="shared" si="57"/>
        <v>36</v>
      </c>
      <c r="P171" s="24">
        <f>'Scored Shortlist'!E171</f>
        <v>5</v>
      </c>
      <c r="Q171" s="24">
        <f>'Scored Shortlist'!F171</f>
        <v>20</v>
      </c>
      <c r="R171" s="24">
        <f>'Scored Shortlist'!G171</f>
        <v>8</v>
      </c>
      <c r="S171" s="24">
        <f>'Scored Shortlist'!H171</f>
        <v>3</v>
      </c>
      <c r="T171" s="24">
        <f>'Scored Shortlist'!I171</f>
        <v>36</v>
      </c>
      <c r="U171" s="24">
        <f>IF('Scored Shortlist'!M171="none",0,(LEN('Scored Shortlist'!M171)-LEN(SUBSTITUTE('Scored Shortlist'!M171,"&lt;-","")))/2)</f>
        <v>0</v>
      </c>
      <c r="V171" s="24">
        <f t="shared" si="58"/>
        <v>1</v>
      </c>
      <c r="W171" s="24">
        <f t="shared" si="59"/>
        <v>1</v>
      </c>
      <c r="X171" s="24">
        <f t="shared" si="60"/>
        <v>1</v>
      </c>
      <c r="Y171" s="24">
        <f t="shared" si="61"/>
        <v>0</v>
      </c>
      <c r="Z171" s="24">
        <f t="shared" si="62"/>
        <v>0</v>
      </c>
      <c r="AA171" s="24">
        <f t="shared" si="63"/>
        <v>1</v>
      </c>
      <c r="AB171" s="25" t="str">
        <f t="shared" si="64"/>
        <v>OK</v>
      </c>
      <c r="AC171" s="24" t="str">
        <f t="shared" si="65"/>
        <v>Not shortlisted</v>
      </c>
      <c r="AD171" s="24" t="str">
        <f>IF(ISNUMBER(SEARCH(" "&amp;LEFT('Scored Shortlist'!B171,FIND(" ",'Scored Shortlist'!B171)-1)&amp;" "," "&amp;'Scored Shortlist'!N171&amp;" ")),"YES","no")</f>
        <v>no</v>
      </c>
    </row>
    <row r="172" spans="1:30" x14ac:dyDescent="0.25">
      <c r="A172" s="24" t="str">
        <f>'Scored Shortlist'!A172</f>
        <v>CV050</v>
      </c>
      <c r="B172" s="24" t="str">
        <f>'Scored Shortlist'!C172</f>
        <v>JD5</v>
      </c>
      <c r="C172" s="24" t="str">
        <f>INDEX(Resumes!$D$2:$D$101,MATCH(A172,Resumes!$A$2:$A$101,0))</f>
        <v>BBA</v>
      </c>
      <c r="D172" s="24">
        <f>INDEX(Resumes!$E$2:$E$101,MATCH(A172,Resumes!$A$2:$A$101,0))</f>
        <v>1.1000000000000001</v>
      </c>
      <c r="E172" s="24" t="str">
        <f>INDEX(Resumes!$G$2:$G$101,MATCH(A172,Resumes!$A$2:$A$101,0))</f>
        <v>stakeholder management, SQL, recruitment, user research, Excel, Tableau</v>
      </c>
      <c r="F172" s="24" t="str">
        <f>INDEX(Resumes!$I$2:$I$101,MATCH(A172,Resumes!$A$2:$A$101,0))</f>
        <v>Siddharth Gupta, BBA from a tier-2 institute. 1.1 years of experience, most recently at an FMCG distributor. Key skills: stakeholder management, SQL, recruitment, user research, Excel, Tableau. Achievement: built a Power BI sales dashboard used by 30 managers. Career gap: 6-month gap (exam preparation).</v>
      </c>
      <c r="G172" s="24" t="str">
        <f t="shared" si="55"/>
        <v>built a Power BI sales dashboard used by 30 managers</v>
      </c>
      <c r="H172" s="24">
        <f>INDEX('Scoring Prompt'!$C$22:$C$23,MATCH(B172,'Scoring Prompt'!$A$22:$A$23,0))</f>
        <v>3</v>
      </c>
      <c r="I172" s="24">
        <f>INDEX('Scoring Prompt'!$D$22:$D$23,MATCH(B172,'Scoring Prompt'!$A$22:$A$23,0))</f>
        <v>6</v>
      </c>
      <c r="J172" s="24">
        <f>INDEX('Scoring Prompt'!$B$27:$C$34,MATCH(C172,'Scoring Prompt'!$A$27:$A$34,0),MATCH(B172,'Scoring Prompt'!$B$26:$C$26,0))</f>
        <v>5</v>
      </c>
      <c r="K172" s="24">
        <f>IF(AND(D172&gt;=H172,D172&lt;=I172),'Scoring Prompt'!$B$47,IF(D172&lt;H172,IF(H172-D172&lt;=1,'Scoring Prompt'!$B$48,IF(H172-D172&lt;=2,'Scoring Prompt'!$B$49,'Scoring Prompt'!$B$50)),IF(D172-I172&lt;=2,'Scoring Prompt'!$B$51,'Scoring Prompt'!$B$52)))</f>
        <v>8</v>
      </c>
      <c r="L172" s="24">
        <f>IF(B172="JD3",SUMPRODUCT(--ISNUMBER(SEARCH('Scoring Prompt'!$E$22:$I$22,E172))),SUMPRODUCT(--ISNUMBER(SEARCH('Scoring Prompt'!$E$23:$I$23,E172))))</f>
        <v>2</v>
      </c>
      <c r="M172" s="24">
        <f t="shared" si="56"/>
        <v>16</v>
      </c>
      <c r="N172" s="24">
        <f>INDEX('Scoring Prompt'!$B$38:$C$43,MATCH(G172,'Scoring Prompt'!$A$38:$A$43,0),MATCH(B172,'Scoring Prompt'!$B$37:$C$37,0))</f>
        <v>7</v>
      </c>
      <c r="O172" s="24">
        <f t="shared" si="57"/>
        <v>36</v>
      </c>
      <c r="P172" s="24">
        <f>'Scored Shortlist'!E172</f>
        <v>5</v>
      </c>
      <c r="Q172" s="24">
        <f>'Scored Shortlist'!F172</f>
        <v>8</v>
      </c>
      <c r="R172" s="24">
        <f>'Scored Shortlist'!G172</f>
        <v>16</v>
      </c>
      <c r="S172" s="24">
        <f>'Scored Shortlist'!H172</f>
        <v>7</v>
      </c>
      <c r="T172" s="24">
        <f>'Scored Shortlist'!I172</f>
        <v>36</v>
      </c>
      <c r="U172" s="24">
        <f>IF('Scored Shortlist'!M172="none",0,(LEN('Scored Shortlist'!M172)-LEN(SUBSTITUTE('Scored Shortlist'!M172,"&lt;-","")))/2)</f>
        <v>0</v>
      </c>
      <c r="V172" s="24">
        <f t="shared" si="58"/>
        <v>1</v>
      </c>
      <c r="W172" s="24">
        <f t="shared" si="59"/>
        <v>1</v>
      </c>
      <c r="X172" s="24">
        <f t="shared" si="60"/>
        <v>1</v>
      </c>
      <c r="Y172" s="24">
        <f t="shared" si="61"/>
        <v>0</v>
      </c>
      <c r="Z172" s="24">
        <f t="shared" si="62"/>
        <v>0</v>
      </c>
      <c r="AA172" s="24">
        <f t="shared" si="63"/>
        <v>1</v>
      </c>
      <c r="AB172" s="25" t="str">
        <f t="shared" si="64"/>
        <v>OK</v>
      </c>
      <c r="AC172" s="24" t="str">
        <f t="shared" si="65"/>
        <v>Not shortlisted</v>
      </c>
      <c r="AD172" s="24" t="str">
        <f>IF(ISNUMBER(SEARCH(" "&amp;LEFT('Scored Shortlist'!B172,FIND(" ",'Scored Shortlist'!B172)-1)&amp;" "," "&amp;'Scored Shortlist'!N172&amp;" ")),"YES","no")</f>
        <v>no</v>
      </c>
    </row>
    <row r="173" spans="1:30" x14ac:dyDescent="0.25">
      <c r="A173" s="24" t="str">
        <f>'Scored Shortlist'!A173</f>
        <v>CV083</v>
      </c>
      <c r="B173" s="24" t="str">
        <f>'Scored Shortlist'!C173</f>
        <v>JD5</v>
      </c>
      <c r="C173" s="24" t="str">
        <f>INDEX(Resumes!$D$2:$D$101,MATCH(A173,Resumes!$A$2:$A$101,0))</f>
        <v>MBA Finance</v>
      </c>
      <c r="D173" s="24">
        <f>INDEX(Resumes!$E$2:$E$101,MATCH(A173,Resumes!$A$2:$A$101,0))</f>
        <v>8.9</v>
      </c>
      <c r="E173" s="24" t="str">
        <f>INDEX(Resumes!$G$2:$G$101,MATCH(A173,Resumes!$A$2:$A$101,0))</f>
        <v>employee relations, campaign management, SAP MM, A/B testing, Power BI, negotiation, valuation, recruitment</v>
      </c>
      <c r="F173" s="24" t="str">
        <f>INDEX(Resumes!$I$2:$I$101,MATCH(A173,Resumes!$A$2:$A$101,0))</f>
        <v>Aditya Desai, MBA Finance from a tier-2 institute. 8.9 years of experience, most recently at an IT services firm. Key skills: employee relations, campaign management, SAP MM, A/B testing, Power BI, negotiation, valuation, recruitment. Achievement: led a 5-member campus marketing team. Career gap: None.</v>
      </c>
      <c r="G173" s="24" t="str">
        <f t="shared" si="55"/>
        <v>led a 5-member campus marketing team</v>
      </c>
      <c r="H173" s="24">
        <f>INDEX('Scoring Prompt'!$C$22:$C$23,MATCH(B173,'Scoring Prompt'!$A$22:$A$23,0))</f>
        <v>3</v>
      </c>
      <c r="I173" s="24">
        <f>INDEX('Scoring Prompt'!$D$22:$D$23,MATCH(B173,'Scoring Prompt'!$A$22:$A$23,0))</f>
        <v>6</v>
      </c>
      <c r="J173" s="24">
        <f>INDEX('Scoring Prompt'!$B$27:$C$34,MATCH(C173,'Scoring Prompt'!$A$27:$A$34,0),MATCH(B173,'Scoring Prompt'!$B$26:$C$26,0))</f>
        <v>15</v>
      </c>
      <c r="K173" s="24">
        <f>IF(AND(D173&gt;=H173,D173&lt;=I173),'Scoring Prompt'!$B$47,IF(D173&lt;H173,IF(H173-D173&lt;=1,'Scoring Prompt'!$B$48,IF(H173-D173&lt;=2,'Scoring Prompt'!$B$49,'Scoring Prompt'!$B$50)),IF(D173-I173&lt;=2,'Scoring Prompt'!$B$51,'Scoring Prompt'!$B$52)))</f>
        <v>12</v>
      </c>
      <c r="L173" s="24">
        <f>IF(B173="JD3",SUMPRODUCT(--ISNUMBER(SEARCH('Scoring Prompt'!$E$22:$I$22,E173))),SUMPRODUCT(--ISNUMBER(SEARCH('Scoring Prompt'!$E$23:$I$23,E173))))</f>
        <v>0</v>
      </c>
      <c r="M173" s="24">
        <f t="shared" si="56"/>
        <v>0</v>
      </c>
      <c r="N173" s="24">
        <f>INDEX('Scoring Prompt'!$B$38:$C$43,MATCH(G173,'Scoring Prompt'!$A$38:$A$43,0),MATCH(B173,'Scoring Prompt'!$B$37:$C$37,0))</f>
        <v>5</v>
      </c>
      <c r="O173" s="24">
        <f t="shared" si="57"/>
        <v>32</v>
      </c>
      <c r="P173" s="24">
        <f>'Scored Shortlist'!E173</f>
        <v>15</v>
      </c>
      <c r="Q173" s="24">
        <f>'Scored Shortlist'!F173</f>
        <v>12</v>
      </c>
      <c r="R173" s="24">
        <f>'Scored Shortlist'!G173</f>
        <v>4</v>
      </c>
      <c r="S173" s="24">
        <f>'Scored Shortlist'!H173</f>
        <v>5</v>
      </c>
      <c r="T173" s="24">
        <f>'Scored Shortlist'!I173</f>
        <v>36</v>
      </c>
      <c r="U173" s="24">
        <f>IF('Scored Shortlist'!M173="none",0,(LEN('Scored Shortlist'!M173)-LEN(SUBSTITUTE('Scored Shortlist'!M173,"&lt;-","")))/2)</f>
        <v>1</v>
      </c>
      <c r="V173" s="24">
        <f t="shared" si="58"/>
        <v>1</v>
      </c>
      <c r="W173" s="24">
        <f t="shared" si="59"/>
        <v>1</v>
      </c>
      <c r="X173" s="24">
        <f t="shared" si="60"/>
        <v>1</v>
      </c>
      <c r="Y173" s="24">
        <f t="shared" si="61"/>
        <v>4</v>
      </c>
      <c r="Z173" s="24">
        <f t="shared" si="62"/>
        <v>4</v>
      </c>
      <c r="AA173" s="24">
        <f t="shared" si="63"/>
        <v>1</v>
      </c>
      <c r="AB173" s="25" t="str">
        <f t="shared" si="64"/>
        <v>OK</v>
      </c>
      <c r="AC173" s="24" t="str">
        <f t="shared" si="65"/>
        <v>Not shortlisted</v>
      </c>
      <c r="AD173" s="24" t="str">
        <f>IF(ISNUMBER(SEARCH(" "&amp;LEFT('Scored Shortlist'!B173,FIND(" ",'Scored Shortlist'!B173)-1)&amp;" "," "&amp;'Scored Shortlist'!N173&amp;" ")),"YES","no")</f>
        <v>no</v>
      </c>
    </row>
    <row r="174" spans="1:30" x14ac:dyDescent="0.25">
      <c r="A174" s="24" t="str">
        <f>'Scored Shortlist'!A174</f>
        <v>CV012</v>
      </c>
      <c r="B174" s="24" t="str">
        <f>'Scored Shortlist'!C174</f>
        <v>JD5</v>
      </c>
      <c r="C174" s="24" t="str">
        <f>INDEX(Resumes!$D$2:$D$101,MATCH(A174,Resumes!$A$2:$A$101,0))</f>
        <v>B.Tech + MBA</v>
      </c>
      <c r="D174" s="24">
        <f>INDEX(Resumes!$E$2:$E$101,MATCH(A174,Resumes!$A$2:$A$101,0))</f>
        <v>0.7</v>
      </c>
      <c r="E174" s="24" t="str">
        <f>INDEX(Resumes!$G$2:$G$101,MATCH(A174,Resumes!$A$2:$A$101,0))</f>
        <v>SAP MM, demand forecasting, Power BI, campaign management, public speaking, Python, vendor management, inventory planning</v>
      </c>
      <c r="F174" s="24" t="str">
        <f>INDEX(Resumes!$I$2:$I$101,MATCH(A174,Resumes!$A$2:$A$101,0))</f>
        <v>Gauri Chatterjee, B.Tech + MBA from a tier-2 institute. 0.7 years of experience, most recently at a fintech start-up. Key skills: SAP MM, demand forecasting, Power BI, campaign management, public speaking, Python, vendor management, inventory planning. Achievement: cut reporting time by 40% by automating Excel reports. Career gap: None.</v>
      </c>
      <c r="G174" s="24" t="str">
        <f t="shared" si="55"/>
        <v>cut reporting time by 40% by automating Excel reports</v>
      </c>
      <c r="H174" s="24">
        <f>INDEX('Scoring Prompt'!$C$22:$C$23,MATCH(B174,'Scoring Prompt'!$A$22:$A$23,0))</f>
        <v>3</v>
      </c>
      <c r="I174" s="24">
        <f>INDEX('Scoring Prompt'!$D$22:$D$23,MATCH(B174,'Scoring Prompt'!$A$22:$A$23,0))</f>
        <v>6</v>
      </c>
      <c r="J174" s="24">
        <f>INDEX('Scoring Prompt'!$B$27:$C$34,MATCH(C174,'Scoring Prompt'!$A$27:$A$34,0),MATCH(B174,'Scoring Prompt'!$B$26:$C$26,0))</f>
        <v>25</v>
      </c>
      <c r="K174" s="24">
        <f>IF(AND(D174&gt;=H174,D174&lt;=I174),'Scoring Prompt'!$B$47,IF(D174&lt;H174,IF(H174-D174&lt;=1,'Scoring Prompt'!$B$48,IF(H174-D174&lt;=2,'Scoring Prompt'!$B$49,'Scoring Prompt'!$B$50)),IF(D174-I174&lt;=2,'Scoring Prompt'!$B$51,'Scoring Prompt'!$B$52)))</f>
        <v>0</v>
      </c>
      <c r="L174" s="24">
        <f>IF(B174="JD3",SUMPRODUCT(--ISNUMBER(SEARCH('Scoring Prompt'!$E$22:$I$22,E174))),SUMPRODUCT(--ISNUMBER(SEARCH('Scoring Prompt'!$E$23:$I$23,E174))))</f>
        <v>0</v>
      </c>
      <c r="M174" s="24">
        <f t="shared" si="56"/>
        <v>0</v>
      </c>
      <c r="N174" s="24">
        <f>INDEX('Scoring Prompt'!$B$38:$C$43,MATCH(G174,'Scoring Prompt'!$A$38:$A$43,0),MATCH(B174,'Scoring Prompt'!$B$37:$C$37,0))</f>
        <v>6</v>
      </c>
      <c r="O174" s="24">
        <f t="shared" si="57"/>
        <v>31</v>
      </c>
      <c r="P174" s="24">
        <f>'Scored Shortlist'!E174</f>
        <v>25</v>
      </c>
      <c r="Q174" s="24">
        <f>'Scored Shortlist'!F174</f>
        <v>0</v>
      </c>
      <c r="R174" s="24">
        <f>'Scored Shortlist'!G174</f>
        <v>4</v>
      </c>
      <c r="S174" s="24">
        <f>'Scored Shortlist'!H174</f>
        <v>6</v>
      </c>
      <c r="T174" s="24">
        <f>'Scored Shortlist'!I174</f>
        <v>35</v>
      </c>
      <c r="U174" s="24">
        <f>IF('Scored Shortlist'!M174="none",0,(LEN('Scored Shortlist'!M174)-LEN(SUBSTITUTE('Scored Shortlist'!M174,"&lt;-","")))/2)</f>
        <v>1</v>
      </c>
      <c r="V174" s="24">
        <f t="shared" si="58"/>
        <v>1</v>
      </c>
      <c r="W174" s="24">
        <f t="shared" si="59"/>
        <v>1</v>
      </c>
      <c r="X174" s="24">
        <f t="shared" si="60"/>
        <v>1</v>
      </c>
      <c r="Y174" s="24">
        <f t="shared" si="61"/>
        <v>4</v>
      </c>
      <c r="Z174" s="24">
        <f t="shared" si="62"/>
        <v>4</v>
      </c>
      <c r="AA174" s="24">
        <f t="shared" si="63"/>
        <v>1</v>
      </c>
      <c r="AB174" s="25" t="str">
        <f t="shared" si="64"/>
        <v>OK</v>
      </c>
      <c r="AC174" s="24" t="str">
        <f t="shared" si="65"/>
        <v>Not shortlisted</v>
      </c>
      <c r="AD174" s="24" t="str">
        <f>IF(ISNUMBER(SEARCH(" "&amp;LEFT('Scored Shortlist'!B174,FIND(" ",'Scored Shortlist'!B174)-1)&amp;" "," "&amp;'Scored Shortlist'!N174&amp;" ")),"YES","no")</f>
        <v>no</v>
      </c>
    </row>
    <row r="175" spans="1:30" x14ac:dyDescent="0.25">
      <c r="A175" s="24" t="str">
        <f>'Scored Shortlist'!A175</f>
        <v>CV020</v>
      </c>
      <c r="B175" s="24" t="str">
        <f>'Scored Shortlist'!C175</f>
        <v>JD5</v>
      </c>
      <c r="C175" s="24" t="str">
        <f>INDEX(Resumes!$D$2:$D$101,MATCH(A175,Resumes!$A$2:$A$101,0))</f>
        <v>B.Com</v>
      </c>
      <c r="D175" s="24">
        <f>INDEX(Resumes!$E$2:$E$101,MATCH(A175,Resumes!$A$2:$A$101,0))</f>
        <v>2.2999999999999998</v>
      </c>
      <c r="E175" s="24" t="str">
        <f>INDEX(Resumes!$G$2:$G$101,MATCH(A175,Resumes!$A$2:$A$101,0))</f>
        <v>content writing, Python, stakeholder management, A/B testing, user research, negotiation, recruitment</v>
      </c>
      <c r="F175" s="24" t="str">
        <f>INDEX(Resumes!$I$2:$I$101,MATCH(A175,Resumes!$A$2:$A$101,0))</f>
        <v>Pranav Chatterjee, B.Com from a tier-1 institute. 2.3 years of experience, most recently at an IT services firm. Key skills: content writing, Python, stakeholder management, A/B testing, user research, negotiation, recruitment. Achievement: built a Power BI sales dashboard used by 30 managers. Career gap: None.</v>
      </c>
      <c r="G175" s="24" t="str">
        <f t="shared" si="55"/>
        <v>built a Power BI sales dashboard used by 30 managers</v>
      </c>
      <c r="H175" s="24">
        <f>INDEX('Scoring Prompt'!$C$22:$C$23,MATCH(B175,'Scoring Prompt'!$A$22:$A$23,0))</f>
        <v>3</v>
      </c>
      <c r="I175" s="24">
        <f>INDEX('Scoring Prompt'!$D$22:$D$23,MATCH(B175,'Scoring Prompt'!$A$22:$A$23,0))</f>
        <v>6</v>
      </c>
      <c r="J175" s="24">
        <f>INDEX('Scoring Prompt'!$B$27:$C$34,MATCH(C175,'Scoring Prompt'!$A$27:$A$34,0),MATCH(B175,'Scoring Prompt'!$B$26:$C$26,0))</f>
        <v>5</v>
      </c>
      <c r="K175" s="24">
        <f>IF(AND(D175&gt;=H175,D175&lt;=I175),'Scoring Prompt'!$B$47,IF(D175&lt;H175,IF(H175-D175&lt;=1,'Scoring Prompt'!$B$48,IF(H175-D175&lt;=2,'Scoring Prompt'!$B$49,'Scoring Prompt'!$B$50)),IF(D175-I175&lt;=2,'Scoring Prompt'!$B$51,'Scoring Prompt'!$B$52)))</f>
        <v>15</v>
      </c>
      <c r="L175" s="24">
        <f>IF(B175="JD3",SUMPRODUCT(--ISNUMBER(SEARCH('Scoring Prompt'!$E$22:$I$22,E175))),SUMPRODUCT(--ISNUMBER(SEARCH('Scoring Prompt'!$E$23:$I$23,E175))))</f>
        <v>1</v>
      </c>
      <c r="M175" s="24">
        <f t="shared" si="56"/>
        <v>8</v>
      </c>
      <c r="N175" s="24">
        <f>INDEX('Scoring Prompt'!$B$38:$C$43,MATCH(G175,'Scoring Prompt'!$A$38:$A$43,0),MATCH(B175,'Scoring Prompt'!$B$37:$C$37,0))</f>
        <v>7</v>
      </c>
      <c r="O175" s="24">
        <f t="shared" si="57"/>
        <v>35</v>
      </c>
      <c r="P175" s="24">
        <f>'Scored Shortlist'!E175</f>
        <v>5</v>
      </c>
      <c r="Q175" s="24">
        <f>'Scored Shortlist'!F175</f>
        <v>15</v>
      </c>
      <c r="R175" s="24">
        <f>'Scored Shortlist'!G175</f>
        <v>8</v>
      </c>
      <c r="S175" s="24">
        <f>'Scored Shortlist'!H175</f>
        <v>7</v>
      </c>
      <c r="T175" s="24">
        <f>'Scored Shortlist'!I175</f>
        <v>35</v>
      </c>
      <c r="U175" s="24">
        <f>IF('Scored Shortlist'!M175="none",0,(LEN('Scored Shortlist'!M175)-LEN(SUBSTITUTE('Scored Shortlist'!M175,"&lt;-","")))/2)</f>
        <v>0</v>
      </c>
      <c r="V175" s="24">
        <f t="shared" si="58"/>
        <v>1</v>
      </c>
      <c r="W175" s="24">
        <f t="shared" si="59"/>
        <v>1</v>
      </c>
      <c r="X175" s="24">
        <f t="shared" si="60"/>
        <v>1</v>
      </c>
      <c r="Y175" s="24">
        <f t="shared" si="61"/>
        <v>0</v>
      </c>
      <c r="Z175" s="24">
        <f t="shared" si="62"/>
        <v>0</v>
      </c>
      <c r="AA175" s="24">
        <f t="shared" si="63"/>
        <v>1</v>
      </c>
      <c r="AB175" s="25" t="str">
        <f t="shared" si="64"/>
        <v>OK</v>
      </c>
      <c r="AC175" s="24" t="str">
        <f t="shared" si="65"/>
        <v>Not shortlisted</v>
      </c>
      <c r="AD175" s="24" t="str">
        <f>IF(ISNUMBER(SEARCH(" "&amp;LEFT('Scored Shortlist'!B175,FIND(" ",'Scored Shortlist'!B175)-1)&amp;" "," "&amp;'Scored Shortlist'!N175&amp;" ")),"YES","no")</f>
        <v>no</v>
      </c>
    </row>
    <row r="176" spans="1:30" x14ac:dyDescent="0.25">
      <c r="A176" s="24" t="str">
        <f>'Scored Shortlist'!A176</f>
        <v>CV026</v>
      </c>
      <c r="B176" s="24" t="str">
        <f>'Scored Shortlist'!C176</f>
        <v>JD5</v>
      </c>
      <c r="C176" s="24" t="str">
        <f>INDEX(Resumes!$D$2:$D$101,MATCH(A176,Resumes!$A$2:$A$101,0))</f>
        <v>MBA HR</v>
      </c>
      <c r="D176" s="24">
        <f>INDEX(Resumes!$E$2:$E$101,MATCH(A176,Resumes!$A$2:$A$101,0))</f>
        <v>8.5</v>
      </c>
      <c r="E176" s="24" t="str">
        <f>INDEX(Resumes!$G$2:$G$101,MATCH(A176,Resumes!$A$2:$A$101,0))</f>
        <v>Tableau, Python, Google Analytics, public speaking, HR analytics, SQL, employee relations, negotiation</v>
      </c>
      <c r="F176" s="24" t="str">
        <f>INDEX(Resumes!$I$2:$I$101,MATCH(A176,Resumes!$A$2:$A$101,0))</f>
        <v>Vikram Chatterjee, MBA HR from a tier-2 institute. 8.5 years of experience, most recently at a consulting firm. Key skills: Tableau, Python, Google Analytics, public speaking, HR analytics, SQL, employee relations, negotiation. Achievement: no major achievement listed. Career gap: None.</v>
      </c>
      <c r="G176" s="24" t="str">
        <f t="shared" si="55"/>
        <v>no major achievement listed</v>
      </c>
      <c r="H176" s="24">
        <f>INDEX('Scoring Prompt'!$C$22:$C$23,MATCH(B176,'Scoring Prompt'!$A$22:$A$23,0))</f>
        <v>3</v>
      </c>
      <c r="I176" s="24">
        <f>INDEX('Scoring Prompt'!$D$22:$D$23,MATCH(B176,'Scoring Prompt'!$A$22:$A$23,0))</f>
        <v>6</v>
      </c>
      <c r="J176" s="24">
        <f>INDEX('Scoring Prompt'!$B$27:$C$34,MATCH(C176,'Scoring Prompt'!$A$27:$A$34,0),MATCH(B176,'Scoring Prompt'!$B$26:$C$26,0))</f>
        <v>15</v>
      </c>
      <c r="K176" s="24">
        <f>IF(AND(D176&gt;=H176,D176&lt;=I176),'Scoring Prompt'!$B$47,IF(D176&lt;H176,IF(H176-D176&lt;=1,'Scoring Prompt'!$B$48,IF(H176-D176&lt;=2,'Scoring Prompt'!$B$49,'Scoring Prompt'!$B$50)),IF(D176-I176&lt;=2,'Scoring Prompt'!$B$51,'Scoring Prompt'!$B$52)))</f>
        <v>12</v>
      </c>
      <c r="L176" s="24">
        <f>IF(B176="JD3",SUMPRODUCT(--ISNUMBER(SEARCH('Scoring Prompt'!$E$22:$I$22,E176))),SUMPRODUCT(--ISNUMBER(SEARCH('Scoring Prompt'!$E$23:$I$23,E176))))</f>
        <v>1</v>
      </c>
      <c r="M176" s="24">
        <f t="shared" si="56"/>
        <v>8</v>
      </c>
      <c r="N176" s="24">
        <f>INDEX('Scoring Prompt'!$B$38:$C$43,MATCH(G176,'Scoring Prompt'!$A$38:$A$43,0),MATCH(B176,'Scoring Prompt'!$B$37:$C$37,0))</f>
        <v>0</v>
      </c>
      <c r="O176" s="24">
        <f t="shared" si="57"/>
        <v>35</v>
      </c>
      <c r="P176" s="24">
        <f>'Scored Shortlist'!E176</f>
        <v>15</v>
      </c>
      <c r="Q176" s="24">
        <f>'Scored Shortlist'!F176</f>
        <v>12</v>
      </c>
      <c r="R176" s="24">
        <f>'Scored Shortlist'!G176</f>
        <v>8</v>
      </c>
      <c r="S176" s="24">
        <f>'Scored Shortlist'!H176</f>
        <v>0</v>
      </c>
      <c r="T176" s="24">
        <f>'Scored Shortlist'!I176</f>
        <v>35</v>
      </c>
      <c r="U176" s="24">
        <f>IF('Scored Shortlist'!M176="none",0,(LEN('Scored Shortlist'!M176)-LEN(SUBSTITUTE('Scored Shortlist'!M176,"&lt;-","")))/2)</f>
        <v>0</v>
      </c>
      <c r="V176" s="24">
        <f t="shared" si="58"/>
        <v>1</v>
      </c>
      <c r="W176" s="24">
        <f t="shared" si="59"/>
        <v>1</v>
      </c>
      <c r="X176" s="24">
        <f t="shared" si="60"/>
        <v>1</v>
      </c>
      <c r="Y176" s="24">
        <f t="shared" si="61"/>
        <v>0</v>
      </c>
      <c r="Z176" s="24">
        <f t="shared" si="62"/>
        <v>0</v>
      </c>
      <c r="AA176" s="24">
        <f t="shared" si="63"/>
        <v>1</v>
      </c>
      <c r="AB176" s="25" t="str">
        <f t="shared" si="64"/>
        <v>OK</v>
      </c>
      <c r="AC176" s="24" t="str">
        <f t="shared" si="65"/>
        <v>Not shortlisted</v>
      </c>
      <c r="AD176" s="24" t="str">
        <f>IF(ISNUMBER(SEARCH(" "&amp;LEFT('Scored Shortlist'!B176,FIND(" ",'Scored Shortlist'!B176)-1)&amp;" "," "&amp;'Scored Shortlist'!N176&amp;" ")),"YES","no")</f>
        <v>no</v>
      </c>
    </row>
    <row r="177" spans="1:30" x14ac:dyDescent="0.25">
      <c r="A177" s="24" t="str">
        <f>'Scored Shortlist'!A177</f>
        <v>CV061</v>
      </c>
      <c r="B177" s="24" t="str">
        <f>'Scored Shortlist'!C177</f>
        <v>JD5</v>
      </c>
      <c r="C177" s="24" t="str">
        <f>INDEX(Resumes!$D$2:$D$101,MATCH(A177,Resumes!$A$2:$A$101,0))</f>
        <v>MBA Marketing</v>
      </c>
      <c r="D177" s="24">
        <f>INDEX(Resumes!$E$2:$E$101,MATCH(A177,Resumes!$A$2:$A$101,0))</f>
        <v>0.3</v>
      </c>
      <c r="E177" s="24" t="str">
        <f>INDEX(Resumes!$G$2:$G$101,MATCH(A177,Resumes!$A$2:$A$101,0))</f>
        <v>agile, product roadmap, stakeholder management, recruitment, public speaking</v>
      </c>
      <c r="F177" s="24" t="str">
        <f>INDEX(Resumes!$I$2:$I$101,MATCH(A177,Resumes!$A$2:$A$101,0))</f>
        <v>Deepak Iyer, MBA Marketing from a tier-2 institute. 0.3 years of experience, most recently at an IT services firm. Key skills: agile, product roadmap, stakeholder management, recruitment, public speaking. Achievement: improved vendor on-time delivery from 78% to 92%. Career gap: None.</v>
      </c>
      <c r="G177" s="24" t="str">
        <f t="shared" si="55"/>
        <v>improved vendor on-time delivery from 78% to 92%</v>
      </c>
      <c r="H177" s="24">
        <f>INDEX('Scoring Prompt'!$C$22:$C$23,MATCH(B177,'Scoring Prompt'!$A$22:$A$23,0))</f>
        <v>3</v>
      </c>
      <c r="I177" s="24">
        <f>INDEX('Scoring Prompt'!$D$22:$D$23,MATCH(B177,'Scoring Prompt'!$A$22:$A$23,0))</f>
        <v>6</v>
      </c>
      <c r="J177" s="24">
        <f>INDEX('Scoring Prompt'!$B$27:$C$34,MATCH(C177,'Scoring Prompt'!$A$27:$A$34,0),MATCH(B177,'Scoring Prompt'!$B$26:$C$26,0))</f>
        <v>15</v>
      </c>
      <c r="K177" s="24">
        <f>IF(AND(D177&gt;=H177,D177&lt;=I177),'Scoring Prompt'!$B$47,IF(D177&lt;H177,IF(H177-D177&lt;=1,'Scoring Prompt'!$B$48,IF(H177-D177&lt;=2,'Scoring Prompt'!$B$49,'Scoring Prompt'!$B$50)),IF(D177-I177&lt;=2,'Scoring Prompt'!$B$51,'Scoring Prompt'!$B$52)))</f>
        <v>0</v>
      </c>
      <c r="L177" s="24">
        <f>IF(B177="JD3",SUMPRODUCT(--ISNUMBER(SEARCH('Scoring Prompt'!$E$22:$I$22,E177))),SUMPRODUCT(--ISNUMBER(SEARCH('Scoring Prompt'!$E$23:$I$23,E177))))</f>
        <v>2</v>
      </c>
      <c r="M177" s="24">
        <f t="shared" si="56"/>
        <v>16</v>
      </c>
      <c r="N177" s="24">
        <f>INDEX('Scoring Prompt'!$B$38:$C$43,MATCH(G177,'Scoring Prompt'!$A$38:$A$43,0),MATCH(B177,'Scoring Prompt'!$B$37:$C$37,0))</f>
        <v>4</v>
      </c>
      <c r="O177" s="24">
        <f t="shared" si="57"/>
        <v>35</v>
      </c>
      <c r="P177" s="24">
        <f>'Scored Shortlist'!E177</f>
        <v>15</v>
      </c>
      <c r="Q177" s="24">
        <f>'Scored Shortlist'!F177</f>
        <v>0</v>
      </c>
      <c r="R177" s="24">
        <f>'Scored Shortlist'!G177</f>
        <v>16</v>
      </c>
      <c r="S177" s="24">
        <f>'Scored Shortlist'!H177</f>
        <v>4</v>
      </c>
      <c r="T177" s="24">
        <f>'Scored Shortlist'!I177</f>
        <v>35</v>
      </c>
      <c r="U177" s="24">
        <f>IF('Scored Shortlist'!M177="none",0,(LEN('Scored Shortlist'!M177)-LEN(SUBSTITUTE('Scored Shortlist'!M177,"&lt;-","")))/2)</f>
        <v>0</v>
      </c>
      <c r="V177" s="24">
        <f t="shared" si="58"/>
        <v>1</v>
      </c>
      <c r="W177" s="24">
        <f t="shared" si="59"/>
        <v>1</v>
      </c>
      <c r="X177" s="24">
        <f t="shared" si="60"/>
        <v>1</v>
      </c>
      <c r="Y177" s="24">
        <f t="shared" si="61"/>
        <v>0</v>
      </c>
      <c r="Z177" s="24">
        <f t="shared" si="62"/>
        <v>0</v>
      </c>
      <c r="AA177" s="24">
        <f t="shared" si="63"/>
        <v>1</v>
      </c>
      <c r="AB177" s="25" t="str">
        <f t="shared" si="64"/>
        <v>OK</v>
      </c>
      <c r="AC177" s="24" t="str">
        <f t="shared" si="65"/>
        <v>Not shortlisted</v>
      </c>
      <c r="AD177" s="24" t="str">
        <f>IF(ISNUMBER(SEARCH(" "&amp;LEFT('Scored Shortlist'!B177,FIND(" ",'Scored Shortlist'!B177)-1)&amp;" "," "&amp;'Scored Shortlist'!N177&amp;" ")),"YES","no")</f>
        <v>no</v>
      </c>
    </row>
    <row r="178" spans="1:30" x14ac:dyDescent="0.25">
      <c r="A178" s="24" t="str">
        <f>'Scored Shortlist'!A178</f>
        <v>CV062</v>
      </c>
      <c r="B178" s="24" t="str">
        <f>'Scored Shortlist'!C178</f>
        <v>JD5</v>
      </c>
      <c r="C178" s="24" t="str">
        <f>INDEX(Resumes!$D$2:$D$101,MATCH(A178,Resumes!$A$2:$A$101,0))</f>
        <v>MBA Operations</v>
      </c>
      <c r="D178" s="24">
        <f>INDEX(Resumes!$E$2:$E$101,MATCH(A178,Resumes!$A$2:$A$101,0))</f>
        <v>2.6</v>
      </c>
      <c r="E178" s="24" t="str">
        <f>INDEX(Resumes!$G$2:$G$101,MATCH(A178,Resumes!$A$2:$A$101,0))</f>
        <v>inventory planning, valuation, Tableau, demand forecasting, Google Analytics, vendor management</v>
      </c>
      <c r="F178" s="24" t="str">
        <f>INDEX(Resumes!$I$2:$I$101,MATCH(A178,Resumes!$A$2:$A$101,0))</f>
        <v>Diya Khan, MBA Operations from a tier-1 institute. 2.6 years of experience, most recently at a retail chain. Key skills: inventory planning, valuation, Tableau, demand forecasting, Google Analytics, vendor management. Achievement: led a 5-member campus marketing team. Career gap: None.</v>
      </c>
      <c r="G178" s="24" t="str">
        <f t="shared" si="55"/>
        <v>led a 5-member campus marketing team</v>
      </c>
      <c r="H178" s="24">
        <f>INDEX('Scoring Prompt'!$C$22:$C$23,MATCH(B178,'Scoring Prompt'!$A$22:$A$23,0))</f>
        <v>3</v>
      </c>
      <c r="I178" s="24">
        <f>INDEX('Scoring Prompt'!$D$22:$D$23,MATCH(B178,'Scoring Prompt'!$A$22:$A$23,0))</f>
        <v>6</v>
      </c>
      <c r="J178" s="24">
        <f>INDEX('Scoring Prompt'!$B$27:$C$34,MATCH(C178,'Scoring Prompt'!$A$27:$A$34,0),MATCH(B178,'Scoring Prompt'!$B$26:$C$26,0))</f>
        <v>15</v>
      </c>
      <c r="K178" s="24">
        <f>IF(AND(D178&gt;=H178,D178&lt;=I178),'Scoring Prompt'!$B$47,IF(D178&lt;H178,IF(H178-D178&lt;=1,'Scoring Prompt'!$B$48,IF(H178-D178&lt;=2,'Scoring Prompt'!$B$49,'Scoring Prompt'!$B$50)),IF(D178-I178&lt;=2,'Scoring Prompt'!$B$51,'Scoring Prompt'!$B$52)))</f>
        <v>15</v>
      </c>
      <c r="L178" s="24">
        <f>IF(B178="JD3",SUMPRODUCT(--ISNUMBER(SEARCH('Scoring Prompt'!$E$22:$I$22,E178))),SUMPRODUCT(--ISNUMBER(SEARCH('Scoring Prompt'!$E$23:$I$23,E178))))</f>
        <v>0</v>
      </c>
      <c r="M178" s="24">
        <f t="shared" si="56"/>
        <v>0</v>
      </c>
      <c r="N178" s="24">
        <f>INDEX('Scoring Prompt'!$B$38:$C$43,MATCH(G178,'Scoring Prompt'!$A$38:$A$43,0),MATCH(B178,'Scoring Prompt'!$B$37:$C$37,0))</f>
        <v>5</v>
      </c>
      <c r="O178" s="24">
        <f t="shared" si="57"/>
        <v>35</v>
      </c>
      <c r="P178" s="24">
        <f>'Scored Shortlist'!E178</f>
        <v>15</v>
      </c>
      <c r="Q178" s="24">
        <f>'Scored Shortlist'!F178</f>
        <v>15</v>
      </c>
      <c r="R178" s="24">
        <f>'Scored Shortlist'!G178</f>
        <v>0</v>
      </c>
      <c r="S178" s="24">
        <f>'Scored Shortlist'!H178</f>
        <v>5</v>
      </c>
      <c r="T178" s="24">
        <f>'Scored Shortlist'!I178</f>
        <v>35</v>
      </c>
      <c r="U178" s="24">
        <f>IF('Scored Shortlist'!M178="none",0,(LEN('Scored Shortlist'!M178)-LEN(SUBSTITUTE('Scored Shortlist'!M178,"&lt;-","")))/2)</f>
        <v>0</v>
      </c>
      <c r="V178" s="24">
        <f t="shared" si="58"/>
        <v>1</v>
      </c>
      <c r="W178" s="24">
        <f t="shared" si="59"/>
        <v>1</v>
      </c>
      <c r="X178" s="24">
        <f t="shared" si="60"/>
        <v>1</v>
      </c>
      <c r="Y178" s="24">
        <f t="shared" si="61"/>
        <v>0</v>
      </c>
      <c r="Z178" s="24">
        <f t="shared" si="62"/>
        <v>0</v>
      </c>
      <c r="AA178" s="24">
        <f t="shared" si="63"/>
        <v>1</v>
      </c>
      <c r="AB178" s="25" t="str">
        <f t="shared" si="64"/>
        <v>OK</v>
      </c>
      <c r="AC178" s="24" t="str">
        <f t="shared" si="65"/>
        <v>Not shortlisted</v>
      </c>
      <c r="AD178" s="24" t="str">
        <f>IF(ISNUMBER(SEARCH(" "&amp;LEFT('Scored Shortlist'!B178,FIND(" ",'Scored Shortlist'!B178)-1)&amp;" "," "&amp;'Scored Shortlist'!N178&amp;" ")),"YES","no")</f>
        <v>no</v>
      </c>
    </row>
    <row r="179" spans="1:30" x14ac:dyDescent="0.25">
      <c r="A179" s="24" t="str">
        <f>'Scored Shortlist'!A179</f>
        <v>CV066</v>
      </c>
      <c r="B179" s="24" t="str">
        <f>'Scored Shortlist'!C179</f>
        <v>JD5</v>
      </c>
      <c r="C179" s="24" t="str">
        <f>INDEX(Resumes!$D$2:$D$101,MATCH(A179,Resumes!$A$2:$A$101,0))</f>
        <v>MBA HR</v>
      </c>
      <c r="D179" s="24">
        <f>INDEX(Resumes!$E$2:$E$101,MATCH(A179,Resumes!$A$2:$A$101,0))</f>
        <v>1</v>
      </c>
      <c r="E179" s="24" t="str">
        <f>INDEX(Resumes!$G$2:$G$101,MATCH(A179,Resumes!$A$2:$A$101,0))</f>
        <v>SQL, valuation, Python, recruitment, demand forecasting, campaign management, Google Analytics</v>
      </c>
      <c r="F179" s="24" t="str">
        <f>INDEX(Resumes!$I$2:$I$101,MATCH(A179,Resumes!$A$2:$A$101,0))</f>
        <v>Sakshi Pawar, MBA HR from a tier-2 institute. 1.0 years of experience, most recently at a bank. Key skills: SQL, valuation, Python, recruitment, demand forecasting, campaign management, Google Analytics. Achievement: no major achievement listed. Career gap: 6-month gap (exam preparation).</v>
      </c>
      <c r="G179" s="24" t="str">
        <f t="shared" si="55"/>
        <v>no major achievement listed</v>
      </c>
      <c r="H179" s="24">
        <f>INDEX('Scoring Prompt'!$C$22:$C$23,MATCH(B179,'Scoring Prompt'!$A$22:$A$23,0))</f>
        <v>3</v>
      </c>
      <c r="I179" s="24">
        <f>INDEX('Scoring Prompt'!$D$22:$D$23,MATCH(B179,'Scoring Prompt'!$A$22:$A$23,0))</f>
        <v>6</v>
      </c>
      <c r="J179" s="24">
        <f>INDEX('Scoring Prompt'!$B$27:$C$34,MATCH(C179,'Scoring Prompt'!$A$27:$A$34,0),MATCH(B179,'Scoring Prompt'!$B$26:$C$26,0))</f>
        <v>15</v>
      </c>
      <c r="K179" s="24">
        <f>IF(AND(D179&gt;=H179,D179&lt;=I179),'Scoring Prompt'!$B$47,IF(D179&lt;H179,IF(H179-D179&lt;=1,'Scoring Prompt'!$B$48,IF(H179-D179&lt;=2,'Scoring Prompt'!$B$49,'Scoring Prompt'!$B$50)),IF(D179-I179&lt;=2,'Scoring Prompt'!$B$51,'Scoring Prompt'!$B$52)))</f>
        <v>8</v>
      </c>
      <c r="L179" s="24">
        <f>IF(B179="JD3",SUMPRODUCT(--ISNUMBER(SEARCH('Scoring Prompt'!$E$22:$I$22,E179))),SUMPRODUCT(--ISNUMBER(SEARCH('Scoring Prompt'!$E$23:$I$23,E179))))</f>
        <v>1</v>
      </c>
      <c r="M179" s="24">
        <f t="shared" si="56"/>
        <v>8</v>
      </c>
      <c r="N179" s="24">
        <f>INDEX('Scoring Prompt'!$B$38:$C$43,MATCH(G179,'Scoring Prompt'!$A$38:$A$43,0),MATCH(B179,'Scoring Prompt'!$B$37:$C$37,0))</f>
        <v>0</v>
      </c>
      <c r="O179" s="24">
        <f t="shared" si="57"/>
        <v>31</v>
      </c>
      <c r="P179" s="24">
        <f>'Scored Shortlist'!E179</f>
        <v>15</v>
      </c>
      <c r="Q179" s="24">
        <f>'Scored Shortlist'!F179</f>
        <v>8</v>
      </c>
      <c r="R179" s="24">
        <f>'Scored Shortlist'!G179</f>
        <v>12</v>
      </c>
      <c r="S179" s="24">
        <f>'Scored Shortlist'!H179</f>
        <v>0</v>
      </c>
      <c r="T179" s="24">
        <f>'Scored Shortlist'!I179</f>
        <v>35</v>
      </c>
      <c r="U179" s="24">
        <f>IF('Scored Shortlist'!M179="none",0,(LEN('Scored Shortlist'!M179)-LEN(SUBSTITUTE('Scored Shortlist'!M179,"&lt;-","")))/2)</f>
        <v>1</v>
      </c>
      <c r="V179" s="24">
        <f t="shared" si="58"/>
        <v>1</v>
      </c>
      <c r="W179" s="24">
        <f t="shared" si="59"/>
        <v>1</v>
      </c>
      <c r="X179" s="24">
        <f t="shared" si="60"/>
        <v>1</v>
      </c>
      <c r="Y179" s="24">
        <f t="shared" si="61"/>
        <v>4</v>
      </c>
      <c r="Z179" s="24">
        <f t="shared" si="62"/>
        <v>4</v>
      </c>
      <c r="AA179" s="24">
        <f t="shared" si="63"/>
        <v>1</v>
      </c>
      <c r="AB179" s="25" t="str">
        <f t="shared" si="64"/>
        <v>OK</v>
      </c>
      <c r="AC179" s="24" t="str">
        <f t="shared" si="65"/>
        <v>Not shortlisted</v>
      </c>
      <c r="AD179" s="24" t="str">
        <f>IF(ISNUMBER(SEARCH(" "&amp;LEFT('Scored Shortlist'!B179,FIND(" ",'Scored Shortlist'!B179)-1)&amp;" "," "&amp;'Scored Shortlist'!N179&amp;" ")),"YES","no")</f>
        <v>no</v>
      </c>
    </row>
    <row r="180" spans="1:30" x14ac:dyDescent="0.25">
      <c r="A180" s="24" t="str">
        <f>'Scored Shortlist'!A180</f>
        <v>CV085</v>
      </c>
      <c r="B180" s="24" t="str">
        <f>'Scored Shortlist'!C180</f>
        <v>JD5</v>
      </c>
      <c r="C180" s="24" t="str">
        <f>INDEX(Resumes!$D$2:$D$101,MATCH(A180,Resumes!$A$2:$A$101,0))</f>
        <v>MBA HR</v>
      </c>
      <c r="D180" s="24">
        <f>INDEX(Resumes!$E$2:$E$101,MATCH(A180,Resumes!$A$2:$A$101,0))</f>
        <v>8.6999999999999993</v>
      </c>
      <c r="E180" s="24" t="str">
        <f>INDEX(Resumes!$G$2:$G$101,MATCH(A180,Resumes!$A$2:$A$101,0))</f>
        <v>Tableau, A/B testing, valuation, Excel, Python, HR analytics, public speaking, employee relations</v>
      </c>
      <c r="F180" s="24" t="str">
        <f>INDEX(Resumes!$I$2:$I$101,MATCH(A180,Resumes!$A$2:$A$101,0))</f>
        <v>Swati Shah, MBA HR from a tier-1 institute. 8.7 years of experience, most recently at a fintech start-up. Key skills: Tableau, A/B testing, valuation, Excel, Python, HR analytics, public speaking, employee relations. Achievement: no major achievement listed. Career gap: 1-year career break (family).</v>
      </c>
      <c r="G180" s="24" t="str">
        <f t="shared" si="55"/>
        <v>no major achievement listed</v>
      </c>
      <c r="H180" s="24">
        <f>INDEX('Scoring Prompt'!$C$22:$C$23,MATCH(B180,'Scoring Prompt'!$A$22:$A$23,0))</f>
        <v>3</v>
      </c>
      <c r="I180" s="24">
        <f>INDEX('Scoring Prompt'!$D$22:$D$23,MATCH(B180,'Scoring Prompt'!$A$22:$A$23,0))</f>
        <v>6</v>
      </c>
      <c r="J180" s="24">
        <f>INDEX('Scoring Prompt'!$B$27:$C$34,MATCH(C180,'Scoring Prompt'!$A$27:$A$34,0),MATCH(B180,'Scoring Prompt'!$B$26:$C$26,0))</f>
        <v>15</v>
      </c>
      <c r="K180" s="24">
        <f>IF(AND(D180&gt;=H180,D180&lt;=I180),'Scoring Prompt'!$B$47,IF(D180&lt;H180,IF(H180-D180&lt;=1,'Scoring Prompt'!$B$48,IF(H180-D180&lt;=2,'Scoring Prompt'!$B$49,'Scoring Prompt'!$B$50)),IF(D180-I180&lt;=2,'Scoring Prompt'!$B$51,'Scoring Prompt'!$B$52)))</f>
        <v>12</v>
      </c>
      <c r="L180" s="24">
        <f>IF(B180="JD3",SUMPRODUCT(--ISNUMBER(SEARCH('Scoring Prompt'!$E$22:$I$22,E180))),SUMPRODUCT(--ISNUMBER(SEARCH('Scoring Prompt'!$E$23:$I$23,E180))))</f>
        <v>0</v>
      </c>
      <c r="M180" s="24">
        <f t="shared" si="56"/>
        <v>0</v>
      </c>
      <c r="N180" s="24">
        <f>INDEX('Scoring Prompt'!$B$38:$C$43,MATCH(G180,'Scoring Prompt'!$A$38:$A$43,0),MATCH(B180,'Scoring Prompt'!$B$37:$C$37,0))</f>
        <v>0</v>
      </c>
      <c r="O180" s="24">
        <f t="shared" si="57"/>
        <v>27</v>
      </c>
      <c r="P180" s="24">
        <f>'Scored Shortlist'!E180</f>
        <v>15</v>
      </c>
      <c r="Q180" s="24">
        <f>'Scored Shortlist'!F180</f>
        <v>12</v>
      </c>
      <c r="R180" s="24">
        <f>'Scored Shortlist'!G180</f>
        <v>8</v>
      </c>
      <c r="S180" s="24">
        <f>'Scored Shortlist'!H180</f>
        <v>0</v>
      </c>
      <c r="T180" s="24">
        <f>'Scored Shortlist'!I180</f>
        <v>35</v>
      </c>
      <c r="U180" s="24">
        <f>IF('Scored Shortlist'!M180="none",0,(LEN('Scored Shortlist'!M180)-LEN(SUBSTITUTE('Scored Shortlist'!M180,"&lt;-","")))/2)</f>
        <v>2</v>
      </c>
      <c r="V180" s="24">
        <f t="shared" si="58"/>
        <v>1</v>
      </c>
      <c r="W180" s="24">
        <f t="shared" si="59"/>
        <v>1</v>
      </c>
      <c r="X180" s="24">
        <f t="shared" si="60"/>
        <v>1</v>
      </c>
      <c r="Y180" s="24">
        <f t="shared" si="61"/>
        <v>8</v>
      </c>
      <c r="Z180" s="24">
        <f t="shared" si="62"/>
        <v>8</v>
      </c>
      <c r="AA180" s="24">
        <f t="shared" si="63"/>
        <v>1</v>
      </c>
      <c r="AB180" s="25" t="str">
        <f t="shared" si="64"/>
        <v>OK</v>
      </c>
      <c r="AC180" s="24" t="str">
        <f t="shared" si="65"/>
        <v>Not shortlisted</v>
      </c>
      <c r="AD180" s="24" t="str">
        <f>IF(ISNUMBER(SEARCH(" "&amp;LEFT('Scored Shortlist'!B180,FIND(" ",'Scored Shortlist'!B180)-1)&amp;" "," "&amp;'Scored Shortlist'!N180&amp;" ")),"YES","no")</f>
        <v>no</v>
      </c>
    </row>
    <row r="181" spans="1:30" x14ac:dyDescent="0.25">
      <c r="A181" s="24" t="str">
        <f>'Scored Shortlist'!A181</f>
        <v>CV096</v>
      </c>
      <c r="B181" s="24" t="str">
        <f>'Scored Shortlist'!C181</f>
        <v>JD5</v>
      </c>
      <c r="C181" s="24" t="str">
        <f>INDEX(Resumes!$D$2:$D$101,MATCH(A181,Resumes!$A$2:$A$101,0))</f>
        <v>MBA Finance</v>
      </c>
      <c r="D181" s="24">
        <f>INDEX(Resumes!$E$2:$E$101,MATCH(A181,Resumes!$A$2:$A$101,0))</f>
        <v>2.4</v>
      </c>
      <c r="E181" s="24" t="str">
        <f>INDEX(Resumes!$G$2:$G$101,MATCH(A181,Resumes!$A$2:$A$101,0))</f>
        <v>Excel, HR analytics, A/B testing, public speaking, vendor management</v>
      </c>
      <c r="F181" s="24" t="str">
        <f>INDEX(Resumes!$I$2:$I$101,MATCH(A181,Resumes!$A$2:$A$101,0))</f>
        <v>Vivaan Nair, MBA Finance from a tier-2 institute. 2.4 years of experience, most recently at a manufacturing company. Key skills: Excel, HR analytics, A/B testing, public speaking, vendor management. Achievement: no major achievement listed. Career gap: 1-year career break (family).</v>
      </c>
      <c r="G181" s="24" t="str">
        <f t="shared" si="55"/>
        <v>no major achievement listed</v>
      </c>
      <c r="H181" s="24">
        <f>INDEX('Scoring Prompt'!$C$22:$C$23,MATCH(B181,'Scoring Prompt'!$A$22:$A$23,0))</f>
        <v>3</v>
      </c>
      <c r="I181" s="24">
        <f>INDEX('Scoring Prompt'!$D$22:$D$23,MATCH(B181,'Scoring Prompt'!$A$22:$A$23,0))</f>
        <v>6</v>
      </c>
      <c r="J181" s="24">
        <f>INDEX('Scoring Prompt'!$B$27:$C$34,MATCH(C181,'Scoring Prompt'!$A$27:$A$34,0),MATCH(B181,'Scoring Prompt'!$B$26:$C$26,0))</f>
        <v>15</v>
      </c>
      <c r="K181" s="24">
        <f>IF(AND(D181&gt;=H181,D181&lt;=I181),'Scoring Prompt'!$B$47,IF(D181&lt;H181,IF(H181-D181&lt;=1,'Scoring Prompt'!$B$48,IF(H181-D181&lt;=2,'Scoring Prompt'!$B$49,'Scoring Prompt'!$B$50)),IF(D181-I181&lt;=2,'Scoring Prompt'!$B$51,'Scoring Prompt'!$B$52)))</f>
        <v>15</v>
      </c>
      <c r="L181" s="24">
        <f>IF(B181="JD3",SUMPRODUCT(--ISNUMBER(SEARCH('Scoring Prompt'!$E$22:$I$22,E181))),SUMPRODUCT(--ISNUMBER(SEARCH('Scoring Prompt'!$E$23:$I$23,E181))))</f>
        <v>0</v>
      </c>
      <c r="M181" s="24">
        <f t="shared" si="56"/>
        <v>0</v>
      </c>
      <c r="N181" s="24">
        <f>INDEX('Scoring Prompt'!$B$38:$C$43,MATCH(G181,'Scoring Prompt'!$A$38:$A$43,0),MATCH(B181,'Scoring Prompt'!$B$37:$C$37,0))</f>
        <v>0</v>
      </c>
      <c r="O181" s="24">
        <f t="shared" si="57"/>
        <v>30</v>
      </c>
      <c r="P181" s="24">
        <f>'Scored Shortlist'!E181</f>
        <v>15</v>
      </c>
      <c r="Q181" s="24">
        <f>'Scored Shortlist'!F181</f>
        <v>15</v>
      </c>
      <c r="R181" s="24">
        <f>'Scored Shortlist'!G181</f>
        <v>4</v>
      </c>
      <c r="S181" s="24">
        <f>'Scored Shortlist'!H181</f>
        <v>0</v>
      </c>
      <c r="T181" s="24">
        <f>'Scored Shortlist'!I181</f>
        <v>34</v>
      </c>
      <c r="U181" s="24">
        <f>IF('Scored Shortlist'!M181="none",0,(LEN('Scored Shortlist'!M181)-LEN(SUBSTITUTE('Scored Shortlist'!M181,"&lt;-","")))/2)</f>
        <v>1</v>
      </c>
      <c r="V181" s="24">
        <f t="shared" si="58"/>
        <v>1</v>
      </c>
      <c r="W181" s="24">
        <f t="shared" si="59"/>
        <v>1</v>
      </c>
      <c r="X181" s="24">
        <f t="shared" si="60"/>
        <v>1</v>
      </c>
      <c r="Y181" s="24">
        <f t="shared" si="61"/>
        <v>4</v>
      </c>
      <c r="Z181" s="24">
        <f t="shared" si="62"/>
        <v>4</v>
      </c>
      <c r="AA181" s="24">
        <f t="shared" si="63"/>
        <v>1</v>
      </c>
      <c r="AB181" s="25" t="str">
        <f t="shared" si="64"/>
        <v>OK</v>
      </c>
      <c r="AC181" s="24" t="str">
        <f t="shared" si="65"/>
        <v>Not shortlisted</v>
      </c>
      <c r="AD181" s="24" t="str">
        <f>IF(ISNUMBER(SEARCH(" "&amp;LEFT('Scored Shortlist'!B181,FIND(" ",'Scored Shortlist'!B181)-1)&amp;" "," "&amp;'Scored Shortlist'!N181&amp;" ")),"YES","no")</f>
        <v>no</v>
      </c>
    </row>
    <row r="182" spans="1:30" x14ac:dyDescent="0.25">
      <c r="A182" s="24" t="str">
        <f>'Scored Shortlist'!A182</f>
        <v>CV077</v>
      </c>
      <c r="B182" s="24" t="str">
        <f>'Scored Shortlist'!C182</f>
        <v>JD5</v>
      </c>
      <c r="C182" s="24" t="str">
        <f>INDEX(Resumes!$D$2:$D$101,MATCH(A182,Resumes!$A$2:$A$101,0))</f>
        <v>BBA</v>
      </c>
      <c r="D182" s="24">
        <f>INDEX(Resumes!$E$2:$E$101,MATCH(A182,Resumes!$A$2:$A$101,0))</f>
        <v>2.5</v>
      </c>
      <c r="E182" s="24" t="str">
        <f>INDEX(Resumes!$G$2:$G$101,MATCH(A182,Resumes!$A$2:$A$101,0))</f>
        <v>demand forecasting, Power BI, agile, labour law, public speaking, valuation</v>
      </c>
      <c r="F182" s="24" t="str">
        <f>INDEX(Resumes!$I$2:$I$101,MATCH(A182,Resumes!$A$2:$A$101,0))</f>
        <v>Deepika Singh, BBA from a tier-2 institute. 2.5 years of experience, most recently at a manufacturing company. Key skills: demand forecasting, Power BI, agile, labour law, public speaking, valuation. Achievement: led a 5-member campus marketing team. Career gap: None.</v>
      </c>
      <c r="G182" s="24" t="str">
        <f t="shared" si="55"/>
        <v>led a 5-member campus marketing team</v>
      </c>
      <c r="H182" s="24">
        <f>INDEX('Scoring Prompt'!$C$22:$C$23,MATCH(B182,'Scoring Prompt'!$A$22:$A$23,0))</f>
        <v>3</v>
      </c>
      <c r="I182" s="24">
        <f>INDEX('Scoring Prompt'!$D$22:$D$23,MATCH(B182,'Scoring Prompt'!$A$22:$A$23,0))</f>
        <v>6</v>
      </c>
      <c r="J182" s="24">
        <f>INDEX('Scoring Prompt'!$B$27:$C$34,MATCH(C182,'Scoring Prompt'!$A$27:$A$34,0),MATCH(B182,'Scoring Prompt'!$B$26:$C$26,0))</f>
        <v>5</v>
      </c>
      <c r="K182" s="24">
        <f>IF(AND(D182&gt;=H182,D182&lt;=I182),'Scoring Prompt'!$B$47,IF(D182&lt;H182,IF(H182-D182&lt;=1,'Scoring Prompt'!$B$48,IF(H182-D182&lt;=2,'Scoring Prompt'!$B$49,'Scoring Prompt'!$B$50)),IF(D182-I182&lt;=2,'Scoring Prompt'!$B$51,'Scoring Prompt'!$B$52)))</f>
        <v>15</v>
      </c>
      <c r="L182" s="24">
        <f>IF(B182="JD3",SUMPRODUCT(--ISNUMBER(SEARCH('Scoring Prompt'!$E$22:$I$22,E182))),SUMPRODUCT(--ISNUMBER(SEARCH('Scoring Prompt'!$E$23:$I$23,E182))))</f>
        <v>1</v>
      </c>
      <c r="M182" s="24">
        <f t="shared" si="56"/>
        <v>8</v>
      </c>
      <c r="N182" s="24">
        <f>INDEX('Scoring Prompt'!$B$38:$C$43,MATCH(G182,'Scoring Prompt'!$A$38:$A$43,0),MATCH(B182,'Scoring Prompt'!$B$37:$C$37,0))</f>
        <v>5</v>
      </c>
      <c r="O182" s="24">
        <f t="shared" si="57"/>
        <v>33</v>
      </c>
      <c r="P182" s="24">
        <f>'Scored Shortlist'!E182</f>
        <v>5</v>
      </c>
      <c r="Q182" s="24">
        <f>'Scored Shortlist'!F182</f>
        <v>15</v>
      </c>
      <c r="R182" s="24">
        <f>'Scored Shortlist'!G182</f>
        <v>8</v>
      </c>
      <c r="S182" s="24">
        <f>'Scored Shortlist'!H182</f>
        <v>5</v>
      </c>
      <c r="T182" s="24">
        <f>'Scored Shortlist'!I182</f>
        <v>33</v>
      </c>
      <c r="U182" s="24">
        <f>IF('Scored Shortlist'!M182="none",0,(LEN('Scored Shortlist'!M182)-LEN(SUBSTITUTE('Scored Shortlist'!M182,"&lt;-","")))/2)</f>
        <v>0</v>
      </c>
      <c r="V182" s="24">
        <f t="shared" si="58"/>
        <v>1</v>
      </c>
      <c r="W182" s="24">
        <f t="shared" si="59"/>
        <v>1</v>
      </c>
      <c r="X182" s="24">
        <f t="shared" si="60"/>
        <v>1</v>
      </c>
      <c r="Y182" s="24">
        <f t="shared" si="61"/>
        <v>0</v>
      </c>
      <c r="Z182" s="24">
        <f t="shared" si="62"/>
        <v>0</v>
      </c>
      <c r="AA182" s="24">
        <f t="shared" si="63"/>
        <v>1</v>
      </c>
      <c r="AB182" s="25" t="str">
        <f t="shared" si="64"/>
        <v>OK</v>
      </c>
      <c r="AC182" s="24" t="str">
        <f t="shared" si="65"/>
        <v>Not shortlisted</v>
      </c>
      <c r="AD182" s="24" t="str">
        <f>IF(ISNUMBER(SEARCH(" "&amp;LEFT('Scored Shortlist'!B182,FIND(" ",'Scored Shortlist'!B182)-1)&amp;" "," "&amp;'Scored Shortlist'!N182&amp;" ")),"YES","no")</f>
        <v>no</v>
      </c>
    </row>
    <row r="183" spans="1:30" x14ac:dyDescent="0.25">
      <c r="A183" s="24" t="str">
        <f>'Scored Shortlist'!A183</f>
        <v>CV091</v>
      </c>
      <c r="B183" s="24" t="str">
        <f>'Scored Shortlist'!C183</f>
        <v>JD5</v>
      </c>
      <c r="C183" s="24" t="str">
        <f>INDEX(Resumes!$D$2:$D$101,MATCH(A183,Resumes!$A$2:$A$101,0))</f>
        <v>CA</v>
      </c>
      <c r="D183" s="24">
        <f>INDEX(Resumes!$E$2:$E$101,MATCH(A183,Resumes!$A$2:$A$101,0))</f>
        <v>4.5</v>
      </c>
      <c r="E183" s="24" t="str">
        <f>INDEX(Resumes!$G$2:$G$101,MATCH(A183,Resumes!$A$2:$A$101,0))</f>
        <v>stakeholder management, Tableau, SEO, Python</v>
      </c>
      <c r="F183" s="24" t="str">
        <f>INDEX(Resumes!$I$2:$I$101,MATCH(A183,Resumes!$A$2:$A$101,0))</f>
        <v>Lakshmi Mishra, CA from a tier-2 institute. 4.5 years of experience, most recently at a manufacturing company. Key skills: stakeholder management, Tableau, SEO, Python. Achievement: handled 120 hires in one year. Career gap: None.</v>
      </c>
      <c r="G183" s="24" t="str">
        <f t="shared" si="55"/>
        <v>handled 120 hires in one year</v>
      </c>
      <c r="H183" s="24">
        <f>INDEX('Scoring Prompt'!$C$22:$C$23,MATCH(B183,'Scoring Prompt'!$A$22:$A$23,0))</f>
        <v>3</v>
      </c>
      <c r="I183" s="24">
        <f>INDEX('Scoring Prompt'!$D$22:$D$23,MATCH(B183,'Scoring Prompt'!$A$22:$A$23,0))</f>
        <v>6</v>
      </c>
      <c r="J183" s="24">
        <f>INDEX('Scoring Prompt'!$B$27:$C$34,MATCH(C183,'Scoring Prompt'!$A$27:$A$34,0),MATCH(B183,'Scoring Prompt'!$B$26:$C$26,0))</f>
        <v>5</v>
      </c>
      <c r="K183" s="24">
        <f>IF(AND(D183&gt;=H183,D183&lt;=I183),'Scoring Prompt'!$B$47,IF(D183&lt;H183,IF(H183-D183&lt;=1,'Scoring Prompt'!$B$48,IF(H183-D183&lt;=2,'Scoring Prompt'!$B$49,'Scoring Prompt'!$B$50)),IF(D183-I183&lt;=2,'Scoring Prompt'!$B$51,'Scoring Prompt'!$B$52)))</f>
        <v>25</v>
      </c>
      <c r="L183" s="24">
        <f>IF(B183="JD3",SUMPRODUCT(--ISNUMBER(SEARCH('Scoring Prompt'!$E$22:$I$22,E183))),SUMPRODUCT(--ISNUMBER(SEARCH('Scoring Prompt'!$E$23:$I$23,E183))))</f>
        <v>0</v>
      </c>
      <c r="M183" s="24">
        <f t="shared" si="56"/>
        <v>0</v>
      </c>
      <c r="N183" s="24">
        <f>INDEX('Scoring Prompt'!$B$38:$C$43,MATCH(G183,'Scoring Prompt'!$A$38:$A$43,0),MATCH(B183,'Scoring Prompt'!$B$37:$C$37,0))</f>
        <v>3</v>
      </c>
      <c r="O183" s="24">
        <f t="shared" si="57"/>
        <v>33</v>
      </c>
      <c r="P183" s="24">
        <f>'Scored Shortlist'!E183</f>
        <v>5</v>
      </c>
      <c r="Q183" s="24">
        <f>'Scored Shortlist'!F183</f>
        <v>25</v>
      </c>
      <c r="R183" s="24">
        <f>'Scored Shortlist'!G183</f>
        <v>0</v>
      </c>
      <c r="S183" s="24">
        <f>'Scored Shortlist'!H183</f>
        <v>3</v>
      </c>
      <c r="T183" s="24">
        <f>'Scored Shortlist'!I183</f>
        <v>33</v>
      </c>
      <c r="U183" s="24">
        <f>IF('Scored Shortlist'!M183="none",0,(LEN('Scored Shortlist'!M183)-LEN(SUBSTITUTE('Scored Shortlist'!M183,"&lt;-","")))/2)</f>
        <v>0</v>
      </c>
      <c r="V183" s="24">
        <f t="shared" si="58"/>
        <v>1</v>
      </c>
      <c r="W183" s="24">
        <f t="shared" si="59"/>
        <v>1</v>
      </c>
      <c r="X183" s="24">
        <f t="shared" si="60"/>
        <v>1</v>
      </c>
      <c r="Y183" s="24">
        <f t="shared" si="61"/>
        <v>0</v>
      </c>
      <c r="Z183" s="24">
        <f t="shared" si="62"/>
        <v>0</v>
      </c>
      <c r="AA183" s="24">
        <f t="shared" si="63"/>
        <v>1</v>
      </c>
      <c r="AB183" s="25" t="str">
        <f t="shared" si="64"/>
        <v>OK</v>
      </c>
      <c r="AC183" s="24" t="str">
        <f t="shared" si="65"/>
        <v>Not shortlisted</v>
      </c>
      <c r="AD183" s="24" t="str">
        <f>IF(ISNUMBER(SEARCH(" "&amp;LEFT('Scored Shortlist'!B183,FIND(" ",'Scored Shortlist'!B183)-1)&amp;" "," "&amp;'Scored Shortlist'!N183&amp;" ")),"YES","no")</f>
        <v>no</v>
      </c>
    </row>
    <row r="184" spans="1:30" x14ac:dyDescent="0.25">
      <c r="A184" s="24" t="str">
        <f>'Scored Shortlist'!A184</f>
        <v>CV013</v>
      </c>
      <c r="B184" s="24" t="str">
        <f>'Scored Shortlist'!C184</f>
        <v>JD5</v>
      </c>
      <c r="C184" s="24" t="str">
        <f>INDEX(Resumes!$D$2:$D$101,MATCH(A184,Resumes!$A$2:$A$101,0))</f>
        <v>BBA</v>
      </c>
      <c r="D184" s="24">
        <f>INDEX(Resumes!$E$2:$E$101,MATCH(A184,Resumes!$A$2:$A$101,0))</f>
        <v>2.8</v>
      </c>
      <c r="E184" s="24" t="str">
        <f>INDEX(Resumes!$G$2:$G$101,MATCH(A184,Resumes!$A$2:$A$101,0))</f>
        <v>valuation, demand forecasting, SEO, agile</v>
      </c>
      <c r="F184" s="24" t="str">
        <f>INDEX(Resumes!$I$2:$I$101,MATCH(A184,Resumes!$A$2:$A$101,0))</f>
        <v>Omkar Jadhav, BBA from a tier-2 institute. 2.8 years of experience, most recently at a consulting firm. Key skills: valuation, demand forecasting, SEO, agile. Achievement: improved vendor on-time delivery from 78% to 92%. Career gap: None.</v>
      </c>
      <c r="G184" s="24" t="str">
        <f t="shared" si="55"/>
        <v>improved vendor on-time delivery from 78% to 92%</v>
      </c>
      <c r="H184" s="24">
        <f>INDEX('Scoring Prompt'!$C$22:$C$23,MATCH(B184,'Scoring Prompt'!$A$22:$A$23,0))</f>
        <v>3</v>
      </c>
      <c r="I184" s="24">
        <f>INDEX('Scoring Prompt'!$D$22:$D$23,MATCH(B184,'Scoring Prompt'!$A$22:$A$23,0))</f>
        <v>6</v>
      </c>
      <c r="J184" s="24">
        <f>INDEX('Scoring Prompt'!$B$27:$C$34,MATCH(C184,'Scoring Prompt'!$A$27:$A$34,0),MATCH(B184,'Scoring Prompt'!$B$26:$C$26,0))</f>
        <v>5</v>
      </c>
      <c r="K184" s="24">
        <f>IF(AND(D184&gt;=H184,D184&lt;=I184),'Scoring Prompt'!$B$47,IF(D184&lt;H184,IF(H184-D184&lt;=1,'Scoring Prompt'!$B$48,IF(H184-D184&lt;=2,'Scoring Prompt'!$B$49,'Scoring Prompt'!$B$50)),IF(D184-I184&lt;=2,'Scoring Prompt'!$B$51,'Scoring Prompt'!$B$52)))</f>
        <v>15</v>
      </c>
      <c r="L184" s="24">
        <f>IF(B184="JD3",SUMPRODUCT(--ISNUMBER(SEARCH('Scoring Prompt'!$E$22:$I$22,E184))),SUMPRODUCT(--ISNUMBER(SEARCH('Scoring Prompt'!$E$23:$I$23,E184))))</f>
        <v>1</v>
      </c>
      <c r="M184" s="24">
        <f t="shared" si="56"/>
        <v>8</v>
      </c>
      <c r="N184" s="24">
        <f>INDEX('Scoring Prompt'!$B$38:$C$43,MATCH(G184,'Scoring Prompt'!$A$38:$A$43,0),MATCH(B184,'Scoring Prompt'!$B$37:$C$37,0))</f>
        <v>4</v>
      </c>
      <c r="O184" s="24">
        <f t="shared" si="57"/>
        <v>32</v>
      </c>
      <c r="P184" s="24">
        <f>'Scored Shortlist'!E184</f>
        <v>5</v>
      </c>
      <c r="Q184" s="24">
        <f>'Scored Shortlist'!F184</f>
        <v>15</v>
      </c>
      <c r="R184" s="24">
        <f>'Scored Shortlist'!G184</f>
        <v>8</v>
      </c>
      <c r="S184" s="24">
        <f>'Scored Shortlist'!H184</f>
        <v>4</v>
      </c>
      <c r="T184" s="24">
        <f>'Scored Shortlist'!I184</f>
        <v>32</v>
      </c>
      <c r="U184" s="24">
        <f>IF('Scored Shortlist'!M184="none",0,(LEN('Scored Shortlist'!M184)-LEN(SUBSTITUTE('Scored Shortlist'!M184,"&lt;-","")))/2)</f>
        <v>0</v>
      </c>
      <c r="V184" s="24">
        <f t="shared" si="58"/>
        <v>1</v>
      </c>
      <c r="W184" s="24">
        <f t="shared" si="59"/>
        <v>1</v>
      </c>
      <c r="X184" s="24">
        <f t="shared" si="60"/>
        <v>1</v>
      </c>
      <c r="Y184" s="24">
        <f t="shared" si="61"/>
        <v>0</v>
      </c>
      <c r="Z184" s="24">
        <f t="shared" si="62"/>
        <v>0</v>
      </c>
      <c r="AA184" s="24">
        <f t="shared" si="63"/>
        <v>1</v>
      </c>
      <c r="AB184" s="25" t="str">
        <f t="shared" si="64"/>
        <v>OK</v>
      </c>
      <c r="AC184" s="24" t="str">
        <f t="shared" si="65"/>
        <v>Not shortlisted</v>
      </c>
      <c r="AD184" s="24" t="str">
        <f>IF(ISNUMBER(SEARCH(" "&amp;LEFT('Scored Shortlist'!B184,FIND(" ",'Scored Shortlist'!B184)-1)&amp;" "," "&amp;'Scored Shortlist'!N184&amp;" ")),"YES","no")</f>
        <v>no</v>
      </c>
    </row>
    <row r="185" spans="1:30" x14ac:dyDescent="0.25">
      <c r="A185" s="24" t="str">
        <f>'Scored Shortlist'!A185</f>
        <v>CV030</v>
      </c>
      <c r="B185" s="24" t="str">
        <f>'Scored Shortlist'!C185</f>
        <v>JD5</v>
      </c>
      <c r="C185" s="24" t="str">
        <f>INDEX(Resumes!$D$2:$D$101,MATCH(A185,Resumes!$A$2:$A$101,0))</f>
        <v>BBA</v>
      </c>
      <c r="D185" s="24">
        <f>INDEX(Resumes!$E$2:$E$101,MATCH(A185,Resumes!$A$2:$A$101,0))</f>
        <v>2.2000000000000002</v>
      </c>
      <c r="E185" s="24" t="str">
        <f>INDEX(Resumes!$G$2:$G$101,MATCH(A185,Resumes!$A$2:$A$101,0))</f>
        <v>Google Analytics, public speaking, Power BI, content writing, valuation, A/B testing, labour law, UPI/payments</v>
      </c>
      <c r="F185" s="24" t="str">
        <f>INDEX(Resumes!$I$2:$I$101,MATCH(A185,Resumes!$A$2:$A$101,0))</f>
        <v>Diya Verma, BBA from a tier-3 institute. 2.2 years of experience, most recently at an IT services firm. Key skills: Google Analytics, public speaking, Power BI, content writing, valuation, A/B testing, labour law, UPI/payments. Achievement: no major achievement listed. Career gap: None.</v>
      </c>
      <c r="G185" s="24" t="str">
        <f t="shared" si="55"/>
        <v>no major achievement listed</v>
      </c>
      <c r="H185" s="24">
        <f>INDEX('Scoring Prompt'!$C$22:$C$23,MATCH(B185,'Scoring Prompt'!$A$22:$A$23,0))</f>
        <v>3</v>
      </c>
      <c r="I185" s="24">
        <f>INDEX('Scoring Prompt'!$D$22:$D$23,MATCH(B185,'Scoring Prompt'!$A$22:$A$23,0))</f>
        <v>6</v>
      </c>
      <c r="J185" s="24">
        <f>INDEX('Scoring Prompt'!$B$27:$C$34,MATCH(C185,'Scoring Prompt'!$A$27:$A$34,0),MATCH(B185,'Scoring Prompt'!$B$26:$C$26,0))</f>
        <v>5</v>
      </c>
      <c r="K185" s="24">
        <f>IF(AND(D185&gt;=H185,D185&lt;=I185),'Scoring Prompt'!$B$47,IF(D185&lt;H185,IF(H185-D185&lt;=1,'Scoring Prompt'!$B$48,IF(H185-D185&lt;=2,'Scoring Prompt'!$B$49,'Scoring Prompt'!$B$50)),IF(D185-I185&lt;=2,'Scoring Prompt'!$B$51,'Scoring Prompt'!$B$52)))</f>
        <v>15</v>
      </c>
      <c r="L185" s="24">
        <f>IF(B185="JD3",SUMPRODUCT(--ISNUMBER(SEARCH('Scoring Prompt'!$E$22:$I$22,E185))),SUMPRODUCT(--ISNUMBER(SEARCH('Scoring Prompt'!$E$23:$I$23,E185))))</f>
        <v>1</v>
      </c>
      <c r="M185" s="24">
        <f t="shared" si="56"/>
        <v>8</v>
      </c>
      <c r="N185" s="24">
        <f>INDEX('Scoring Prompt'!$B$38:$C$43,MATCH(G185,'Scoring Prompt'!$A$38:$A$43,0),MATCH(B185,'Scoring Prompt'!$B$37:$C$37,0))</f>
        <v>0</v>
      </c>
      <c r="O185" s="24">
        <f t="shared" si="57"/>
        <v>28</v>
      </c>
      <c r="P185" s="24">
        <f>'Scored Shortlist'!E185</f>
        <v>5</v>
      </c>
      <c r="Q185" s="24">
        <f>'Scored Shortlist'!F185</f>
        <v>15</v>
      </c>
      <c r="R185" s="24">
        <f>'Scored Shortlist'!G185</f>
        <v>12</v>
      </c>
      <c r="S185" s="24">
        <f>'Scored Shortlist'!H185</f>
        <v>0</v>
      </c>
      <c r="T185" s="24">
        <f>'Scored Shortlist'!I185</f>
        <v>32</v>
      </c>
      <c r="U185" s="24">
        <f>IF('Scored Shortlist'!M185="none",0,(LEN('Scored Shortlist'!M185)-LEN(SUBSTITUTE('Scored Shortlist'!M185,"&lt;-","")))/2)</f>
        <v>1</v>
      </c>
      <c r="V185" s="24">
        <f t="shared" si="58"/>
        <v>1</v>
      </c>
      <c r="W185" s="24">
        <f t="shared" si="59"/>
        <v>1</v>
      </c>
      <c r="X185" s="24">
        <f t="shared" si="60"/>
        <v>1</v>
      </c>
      <c r="Y185" s="24">
        <f t="shared" si="61"/>
        <v>4</v>
      </c>
      <c r="Z185" s="24">
        <f t="shared" si="62"/>
        <v>4</v>
      </c>
      <c r="AA185" s="24">
        <f t="shared" si="63"/>
        <v>1</v>
      </c>
      <c r="AB185" s="25" t="str">
        <f t="shared" si="64"/>
        <v>OK</v>
      </c>
      <c r="AC185" s="24" t="str">
        <f t="shared" si="65"/>
        <v>Not shortlisted</v>
      </c>
      <c r="AD185" s="24" t="str">
        <f>IF(ISNUMBER(SEARCH(" "&amp;LEFT('Scored Shortlist'!B185,FIND(" ",'Scored Shortlist'!B185)-1)&amp;" "," "&amp;'Scored Shortlist'!N185&amp;" ")),"YES","no")</f>
        <v>no</v>
      </c>
    </row>
    <row r="186" spans="1:30" x14ac:dyDescent="0.25">
      <c r="A186" s="24" t="str">
        <f>'Scored Shortlist'!A186</f>
        <v>CV003</v>
      </c>
      <c r="B186" s="24" t="str">
        <f>'Scored Shortlist'!C186</f>
        <v>JD5</v>
      </c>
      <c r="C186" s="24" t="str">
        <f>INDEX(Resumes!$D$2:$D$101,MATCH(A186,Resumes!$A$2:$A$101,0))</f>
        <v>B.Com</v>
      </c>
      <c r="D186" s="24">
        <f>INDEX(Resumes!$E$2:$E$101,MATCH(A186,Resumes!$A$2:$A$101,0))</f>
        <v>2.5</v>
      </c>
      <c r="E186" s="24" t="str">
        <f>INDEX(Resumes!$G$2:$G$101,MATCH(A186,Resumes!$A$2:$A$101,0))</f>
        <v>financial modelling, product roadmap, Power BI, recruitment, SEO, content writing, demand forecasting, public speaking</v>
      </c>
      <c r="F186" s="24" t="str">
        <f>INDEX(Resumes!$I$2:$I$101,MATCH(A186,Resumes!$A$2:$A$101,0))</f>
        <v>Mary Mukherjee, B.Com from a tier-3 institute. 2.5 years of experience, most recently at an IT services firm. Key skills: financial modelling, product roadmap, Power BI, recruitment, SEO, content writing, demand forecasting, public speaking. Achievement: handled 120 hires in one year. Career gap: 6-month gap (exam preparation).</v>
      </c>
      <c r="G186" s="24" t="str">
        <f t="shared" si="55"/>
        <v>handled 120 hires in one year</v>
      </c>
      <c r="H186" s="24">
        <f>INDEX('Scoring Prompt'!$C$22:$C$23,MATCH(B186,'Scoring Prompt'!$A$22:$A$23,0))</f>
        <v>3</v>
      </c>
      <c r="I186" s="24">
        <f>INDEX('Scoring Prompt'!$D$22:$D$23,MATCH(B186,'Scoring Prompt'!$A$22:$A$23,0))</f>
        <v>6</v>
      </c>
      <c r="J186" s="24">
        <f>INDEX('Scoring Prompt'!$B$27:$C$34,MATCH(C186,'Scoring Prompt'!$A$27:$A$34,0),MATCH(B186,'Scoring Prompt'!$B$26:$C$26,0))</f>
        <v>5</v>
      </c>
      <c r="K186" s="24">
        <f>IF(AND(D186&gt;=H186,D186&lt;=I186),'Scoring Prompt'!$B$47,IF(D186&lt;H186,IF(H186-D186&lt;=1,'Scoring Prompt'!$B$48,IF(H186-D186&lt;=2,'Scoring Prompt'!$B$49,'Scoring Prompt'!$B$50)),IF(D186-I186&lt;=2,'Scoring Prompt'!$B$51,'Scoring Prompt'!$B$52)))</f>
        <v>15</v>
      </c>
      <c r="L186" s="24">
        <f>IF(B186="JD3",SUMPRODUCT(--ISNUMBER(SEARCH('Scoring Prompt'!$E$22:$I$22,E186))),SUMPRODUCT(--ISNUMBER(SEARCH('Scoring Prompt'!$E$23:$I$23,E186))))</f>
        <v>1</v>
      </c>
      <c r="M186" s="24">
        <f t="shared" si="56"/>
        <v>8</v>
      </c>
      <c r="N186" s="24">
        <f>INDEX('Scoring Prompt'!$B$38:$C$43,MATCH(G186,'Scoring Prompt'!$A$38:$A$43,0),MATCH(B186,'Scoring Prompt'!$B$37:$C$37,0))</f>
        <v>3</v>
      </c>
      <c r="O186" s="24">
        <f t="shared" si="57"/>
        <v>31</v>
      </c>
      <c r="P186" s="24">
        <f>'Scored Shortlist'!E186</f>
        <v>5</v>
      </c>
      <c r="Q186" s="24">
        <f>'Scored Shortlist'!F186</f>
        <v>15</v>
      </c>
      <c r="R186" s="24">
        <f>'Scored Shortlist'!G186</f>
        <v>8</v>
      </c>
      <c r="S186" s="24">
        <f>'Scored Shortlist'!H186</f>
        <v>3</v>
      </c>
      <c r="T186" s="24">
        <f>'Scored Shortlist'!I186</f>
        <v>31</v>
      </c>
      <c r="U186" s="24">
        <f>IF('Scored Shortlist'!M186="none",0,(LEN('Scored Shortlist'!M186)-LEN(SUBSTITUTE('Scored Shortlist'!M186,"&lt;-","")))/2)</f>
        <v>0</v>
      </c>
      <c r="V186" s="24">
        <f t="shared" si="58"/>
        <v>1</v>
      </c>
      <c r="W186" s="24">
        <f t="shared" si="59"/>
        <v>1</v>
      </c>
      <c r="X186" s="24">
        <f t="shared" si="60"/>
        <v>1</v>
      </c>
      <c r="Y186" s="24">
        <f t="shared" si="61"/>
        <v>0</v>
      </c>
      <c r="Z186" s="24">
        <f t="shared" si="62"/>
        <v>0</v>
      </c>
      <c r="AA186" s="24">
        <f t="shared" si="63"/>
        <v>1</v>
      </c>
      <c r="AB186" s="25" t="str">
        <f t="shared" si="64"/>
        <v>OK</v>
      </c>
      <c r="AC186" s="24" t="str">
        <f t="shared" si="65"/>
        <v>Not shortlisted</v>
      </c>
      <c r="AD186" s="24" t="str">
        <f>IF(ISNUMBER(SEARCH(" "&amp;LEFT('Scored Shortlist'!B186,FIND(" ",'Scored Shortlist'!B186)-1)&amp;" "," "&amp;'Scored Shortlist'!N186&amp;" ")),"YES","no")</f>
        <v>no</v>
      </c>
    </row>
    <row r="187" spans="1:30" x14ac:dyDescent="0.25">
      <c r="A187" s="24" t="str">
        <f>'Scored Shortlist'!A187</f>
        <v>CV016</v>
      </c>
      <c r="B187" s="24" t="str">
        <f>'Scored Shortlist'!C187</f>
        <v>JD5</v>
      </c>
      <c r="C187" s="24" t="str">
        <f>INDEX(Resumes!$D$2:$D$101,MATCH(A187,Resumes!$A$2:$A$101,0))</f>
        <v>CA</v>
      </c>
      <c r="D187" s="24">
        <f>INDEX(Resumes!$E$2:$E$101,MATCH(A187,Resumes!$A$2:$A$101,0))</f>
        <v>6.8</v>
      </c>
      <c r="E187" s="24" t="str">
        <f>INDEX(Resumes!$G$2:$G$101,MATCH(A187,Resumes!$A$2:$A$101,0))</f>
        <v>SEO, Excel, inventory planning, employee relations</v>
      </c>
      <c r="F187" s="24" t="str">
        <f>INDEX(Resumes!$I$2:$I$101,MATCH(A187,Resumes!$A$2:$A$101,0))</f>
        <v>Vikram Jadhav, CA from a tier-2 institute. 6.8 years of experience, most recently at a consulting firm. Key skills: SEO, Excel, inventory planning, employee relations. Achievement: cut reporting time by 40% by automating Excel reports. Career gap: None.</v>
      </c>
      <c r="G187" s="24" t="str">
        <f t="shared" si="55"/>
        <v>cut reporting time by 40% by automating Excel reports</v>
      </c>
      <c r="H187" s="24">
        <f>INDEX('Scoring Prompt'!$C$22:$C$23,MATCH(B187,'Scoring Prompt'!$A$22:$A$23,0))</f>
        <v>3</v>
      </c>
      <c r="I187" s="24">
        <f>INDEX('Scoring Prompt'!$D$22:$D$23,MATCH(B187,'Scoring Prompt'!$A$22:$A$23,0))</f>
        <v>6</v>
      </c>
      <c r="J187" s="24">
        <f>INDEX('Scoring Prompt'!$B$27:$C$34,MATCH(C187,'Scoring Prompt'!$A$27:$A$34,0),MATCH(B187,'Scoring Prompt'!$B$26:$C$26,0))</f>
        <v>5</v>
      </c>
      <c r="K187" s="24">
        <f>IF(AND(D187&gt;=H187,D187&lt;=I187),'Scoring Prompt'!$B$47,IF(D187&lt;H187,IF(H187-D187&lt;=1,'Scoring Prompt'!$B$48,IF(H187-D187&lt;=2,'Scoring Prompt'!$B$49,'Scoring Prompt'!$B$50)),IF(D187-I187&lt;=2,'Scoring Prompt'!$B$51,'Scoring Prompt'!$B$52)))</f>
        <v>20</v>
      </c>
      <c r="L187" s="24">
        <f>IF(B187="JD3",SUMPRODUCT(--ISNUMBER(SEARCH('Scoring Prompt'!$E$22:$I$22,E187))),SUMPRODUCT(--ISNUMBER(SEARCH('Scoring Prompt'!$E$23:$I$23,E187))))</f>
        <v>0</v>
      </c>
      <c r="M187" s="24">
        <f t="shared" si="56"/>
        <v>0</v>
      </c>
      <c r="N187" s="24">
        <f>INDEX('Scoring Prompt'!$B$38:$C$43,MATCH(G187,'Scoring Prompt'!$A$38:$A$43,0),MATCH(B187,'Scoring Prompt'!$B$37:$C$37,0))</f>
        <v>6</v>
      </c>
      <c r="O187" s="24">
        <f t="shared" si="57"/>
        <v>31</v>
      </c>
      <c r="P187" s="24">
        <f>'Scored Shortlist'!E187</f>
        <v>5</v>
      </c>
      <c r="Q187" s="24">
        <f>'Scored Shortlist'!F187</f>
        <v>20</v>
      </c>
      <c r="R187" s="24">
        <f>'Scored Shortlist'!G187</f>
        <v>0</v>
      </c>
      <c r="S187" s="24">
        <f>'Scored Shortlist'!H187</f>
        <v>6</v>
      </c>
      <c r="T187" s="24">
        <f>'Scored Shortlist'!I187</f>
        <v>31</v>
      </c>
      <c r="U187" s="24">
        <f>IF('Scored Shortlist'!M187="none",0,(LEN('Scored Shortlist'!M187)-LEN(SUBSTITUTE('Scored Shortlist'!M187,"&lt;-","")))/2)</f>
        <v>0</v>
      </c>
      <c r="V187" s="24">
        <f t="shared" si="58"/>
        <v>1</v>
      </c>
      <c r="W187" s="24">
        <f t="shared" si="59"/>
        <v>1</v>
      </c>
      <c r="X187" s="24">
        <f t="shared" si="60"/>
        <v>1</v>
      </c>
      <c r="Y187" s="24">
        <f t="shared" si="61"/>
        <v>0</v>
      </c>
      <c r="Z187" s="24">
        <f t="shared" si="62"/>
        <v>0</v>
      </c>
      <c r="AA187" s="24">
        <f t="shared" si="63"/>
        <v>1</v>
      </c>
      <c r="AB187" s="25" t="str">
        <f t="shared" si="64"/>
        <v>OK</v>
      </c>
      <c r="AC187" s="24" t="str">
        <f t="shared" si="65"/>
        <v>Not shortlisted</v>
      </c>
      <c r="AD187" s="24" t="str">
        <f>IF(ISNUMBER(SEARCH(" "&amp;LEFT('Scored Shortlist'!B187,FIND(" ",'Scored Shortlist'!B187)-1)&amp;" "," "&amp;'Scored Shortlist'!N187&amp;" ")),"YES","no")</f>
        <v>no</v>
      </c>
    </row>
    <row r="188" spans="1:30" x14ac:dyDescent="0.25">
      <c r="A188" s="24" t="str">
        <f>'Scored Shortlist'!A188</f>
        <v>CV082</v>
      </c>
      <c r="B188" s="24" t="str">
        <f>'Scored Shortlist'!C188</f>
        <v>JD5</v>
      </c>
      <c r="C188" s="24" t="str">
        <f>INDEX(Resumes!$D$2:$D$101,MATCH(A188,Resumes!$A$2:$A$101,0))</f>
        <v>MBA Operations</v>
      </c>
      <c r="D188" s="24">
        <f>INDEX(Resumes!$E$2:$E$101,MATCH(A188,Resumes!$A$2:$A$101,0))</f>
        <v>1.3</v>
      </c>
      <c r="E188" s="24" t="str">
        <f>INDEX(Resumes!$G$2:$G$101,MATCH(A188,Resumes!$A$2:$A$101,0))</f>
        <v>Python, HR analytics, labour law, stakeholder management, inventory planning, SEO, user research</v>
      </c>
      <c r="F188" s="24" t="str">
        <f>INDEX(Resumes!$I$2:$I$101,MATCH(A188,Resumes!$A$2:$A$101,0))</f>
        <v>Diya D'Souza, MBA Operations from a tier-1 institute. 1.3 years of experience, most recently at a retail chain. Key skills: Python, HR analytics, labour law, stakeholder management, inventory planning, SEO, user research. Achievement: no major achievement listed. Career gap: None.</v>
      </c>
      <c r="G188" s="24" t="str">
        <f t="shared" si="55"/>
        <v>no major achievement listed</v>
      </c>
      <c r="H188" s="24">
        <f>INDEX('Scoring Prompt'!$C$22:$C$23,MATCH(B188,'Scoring Prompt'!$A$22:$A$23,0))</f>
        <v>3</v>
      </c>
      <c r="I188" s="24">
        <f>INDEX('Scoring Prompt'!$D$22:$D$23,MATCH(B188,'Scoring Prompt'!$A$22:$A$23,0))</f>
        <v>6</v>
      </c>
      <c r="J188" s="24">
        <f>INDEX('Scoring Prompt'!$B$27:$C$34,MATCH(C188,'Scoring Prompt'!$A$27:$A$34,0),MATCH(B188,'Scoring Prompt'!$B$26:$C$26,0))</f>
        <v>15</v>
      </c>
      <c r="K188" s="24">
        <f>IF(AND(D188&gt;=H188,D188&lt;=I188),'Scoring Prompt'!$B$47,IF(D188&lt;H188,IF(H188-D188&lt;=1,'Scoring Prompt'!$B$48,IF(H188-D188&lt;=2,'Scoring Prompt'!$B$49,'Scoring Prompt'!$B$50)),IF(D188-I188&lt;=2,'Scoring Prompt'!$B$51,'Scoring Prompt'!$B$52)))</f>
        <v>8</v>
      </c>
      <c r="L188" s="24">
        <f>IF(B188="JD3",SUMPRODUCT(--ISNUMBER(SEARCH('Scoring Prompt'!$E$22:$I$22,E188))),SUMPRODUCT(--ISNUMBER(SEARCH('Scoring Prompt'!$E$23:$I$23,E188))))</f>
        <v>1</v>
      </c>
      <c r="M188" s="24">
        <f t="shared" si="56"/>
        <v>8</v>
      </c>
      <c r="N188" s="24">
        <f>INDEX('Scoring Prompt'!$B$38:$C$43,MATCH(G188,'Scoring Prompt'!$A$38:$A$43,0),MATCH(B188,'Scoring Prompt'!$B$37:$C$37,0))</f>
        <v>0</v>
      </c>
      <c r="O188" s="24">
        <f t="shared" si="57"/>
        <v>31</v>
      </c>
      <c r="P188" s="24">
        <f>'Scored Shortlist'!E188</f>
        <v>15</v>
      </c>
      <c r="Q188" s="24">
        <f>'Scored Shortlist'!F188</f>
        <v>8</v>
      </c>
      <c r="R188" s="24">
        <f>'Scored Shortlist'!G188</f>
        <v>8</v>
      </c>
      <c r="S188" s="24">
        <f>'Scored Shortlist'!H188</f>
        <v>0</v>
      </c>
      <c r="T188" s="24">
        <f>'Scored Shortlist'!I188</f>
        <v>31</v>
      </c>
      <c r="U188" s="24">
        <f>IF('Scored Shortlist'!M188="none",0,(LEN('Scored Shortlist'!M188)-LEN(SUBSTITUTE('Scored Shortlist'!M188,"&lt;-","")))/2)</f>
        <v>0</v>
      </c>
      <c r="V188" s="24">
        <f t="shared" si="58"/>
        <v>1</v>
      </c>
      <c r="W188" s="24">
        <f t="shared" si="59"/>
        <v>1</v>
      </c>
      <c r="X188" s="24">
        <f t="shared" si="60"/>
        <v>1</v>
      </c>
      <c r="Y188" s="24">
        <f t="shared" si="61"/>
        <v>0</v>
      </c>
      <c r="Z188" s="24">
        <f t="shared" si="62"/>
        <v>0</v>
      </c>
      <c r="AA188" s="24">
        <f t="shared" si="63"/>
        <v>1</v>
      </c>
      <c r="AB188" s="25" t="str">
        <f t="shared" si="64"/>
        <v>OK</v>
      </c>
      <c r="AC188" s="24" t="str">
        <f t="shared" si="65"/>
        <v>Not shortlisted</v>
      </c>
      <c r="AD188" s="24" t="str">
        <f>IF(ISNUMBER(SEARCH(" "&amp;LEFT('Scored Shortlist'!B188,FIND(" ",'Scored Shortlist'!B188)-1)&amp;" "," "&amp;'Scored Shortlist'!N188&amp;" ")),"YES","no")</f>
        <v>no</v>
      </c>
    </row>
    <row r="189" spans="1:30" x14ac:dyDescent="0.25">
      <c r="A189" s="24" t="str">
        <f>'Scored Shortlist'!A189</f>
        <v>CV031</v>
      </c>
      <c r="B189" s="24" t="str">
        <f>'Scored Shortlist'!C189</f>
        <v>JD5</v>
      </c>
      <c r="C189" s="24" t="str">
        <f>INDEX(Resumes!$D$2:$D$101,MATCH(A189,Resumes!$A$2:$A$101,0))</f>
        <v>MBA Operations</v>
      </c>
      <c r="D189" s="24">
        <f>INDEX(Resumes!$E$2:$E$101,MATCH(A189,Resumes!$A$2:$A$101,0))</f>
        <v>0.5</v>
      </c>
      <c r="E189" s="24" t="str">
        <f>INDEX(Resumes!$G$2:$G$101,MATCH(A189,Resumes!$A$2:$A$101,0))</f>
        <v>HR analytics, demand forecasting, product roadmap, Python, SAP MM, public speaking, employee relations, content writing</v>
      </c>
      <c r="F189" s="24" t="str">
        <f>INDEX(Resumes!$I$2:$I$101,MATCH(A189,Resumes!$A$2:$A$101,0))</f>
        <v>Tushar Deshmukh, MBA Operations from a tier-2 institute. 0.5 years of experience, most recently at an IT services firm. Key skills: HR analytics, demand forecasting, product roadmap, Python, SAP MM, public speaking, employee relations, content writing. Achievement: built a Power BI sales dashboard used by 30 managers. Career gap: 6-month gap (exam preparation).</v>
      </c>
      <c r="G189" s="24" t="str">
        <f t="shared" si="55"/>
        <v>built a Power BI sales dashboard used by 30 managers</v>
      </c>
      <c r="H189" s="24">
        <f>INDEX('Scoring Prompt'!$C$22:$C$23,MATCH(B189,'Scoring Prompt'!$A$22:$A$23,0))</f>
        <v>3</v>
      </c>
      <c r="I189" s="24">
        <f>INDEX('Scoring Prompt'!$D$22:$D$23,MATCH(B189,'Scoring Prompt'!$A$22:$A$23,0))</f>
        <v>6</v>
      </c>
      <c r="J189" s="24">
        <f>INDEX('Scoring Prompt'!$B$27:$C$34,MATCH(C189,'Scoring Prompt'!$A$27:$A$34,0),MATCH(B189,'Scoring Prompt'!$B$26:$C$26,0))</f>
        <v>15</v>
      </c>
      <c r="K189" s="24">
        <f>IF(AND(D189&gt;=H189,D189&lt;=I189),'Scoring Prompt'!$B$47,IF(D189&lt;H189,IF(H189-D189&lt;=1,'Scoring Prompt'!$B$48,IF(H189-D189&lt;=2,'Scoring Prompt'!$B$49,'Scoring Prompt'!$B$50)),IF(D189-I189&lt;=2,'Scoring Prompt'!$B$51,'Scoring Prompt'!$B$52)))</f>
        <v>0</v>
      </c>
      <c r="L189" s="24">
        <f>IF(B189="JD3",SUMPRODUCT(--ISNUMBER(SEARCH('Scoring Prompt'!$E$22:$I$22,E189))),SUMPRODUCT(--ISNUMBER(SEARCH('Scoring Prompt'!$E$23:$I$23,E189))))</f>
        <v>1</v>
      </c>
      <c r="M189" s="24">
        <f t="shared" si="56"/>
        <v>8</v>
      </c>
      <c r="N189" s="24">
        <f>INDEX('Scoring Prompt'!$B$38:$C$43,MATCH(G189,'Scoring Prompt'!$A$38:$A$43,0),MATCH(B189,'Scoring Prompt'!$B$37:$C$37,0))</f>
        <v>7</v>
      </c>
      <c r="O189" s="24">
        <f t="shared" si="57"/>
        <v>30</v>
      </c>
      <c r="P189" s="24">
        <f>'Scored Shortlist'!E189</f>
        <v>15</v>
      </c>
      <c r="Q189" s="24">
        <f>'Scored Shortlist'!F189</f>
        <v>0</v>
      </c>
      <c r="R189" s="24">
        <f>'Scored Shortlist'!G189</f>
        <v>8</v>
      </c>
      <c r="S189" s="24">
        <f>'Scored Shortlist'!H189</f>
        <v>7</v>
      </c>
      <c r="T189" s="24">
        <f>'Scored Shortlist'!I189</f>
        <v>30</v>
      </c>
      <c r="U189" s="24">
        <f>IF('Scored Shortlist'!M189="none",0,(LEN('Scored Shortlist'!M189)-LEN(SUBSTITUTE('Scored Shortlist'!M189,"&lt;-","")))/2)</f>
        <v>0</v>
      </c>
      <c r="V189" s="24">
        <f t="shared" si="58"/>
        <v>1</v>
      </c>
      <c r="W189" s="24">
        <f t="shared" si="59"/>
        <v>1</v>
      </c>
      <c r="X189" s="24">
        <f t="shared" si="60"/>
        <v>1</v>
      </c>
      <c r="Y189" s="24">
        <f t="shared" si="61"/>
        <v>0</v>
      </c>
      <c r="Z189" s="24">
        <f t="shared" si="62"/>
        <v>0</v>
      </c>
      <c r="AA189" s="24">
        <f t="shared" si="63"/>
        <v>1</v>
      </c>
      <c r="AB189" s="25" t="str">
        <f t="shared" si="64"/>
        <v>OK</v>
      </c>
      <c r="AC189" s="24" t="str">
        <f t="shared" si="65"/>
        <v>Not shortlisted</v>
      </c>
      <c r="AD189" s="24" t="str">
        <f>IF(ISNUMBER(SEARCH(" "&amp;LEFT('Scored Shortlist'!B189,FIND(" ",'Scored Shortlist'!B189)-1)&amp;" "," "&amp;'Scored Shortlist'!N189&amp;" ")),"YES","no")</f>
        <v>no</v>
      </c>
    </row>
    <row r="190" spans="1:30" x14ac:dyDescent="0.25">
      <c r="A190" s="24" t="str">
        <f>'Scored Shortlist'!A190</f>
        <v>CV006</v>
      </c>
      <c r="B190" s="24" t="str">
        <f>'Scored Shortlist'!C190</f>
        <v>JD5</v>
      </c>
      <c r="C190" s="24" t="str">
        <f>INDEX(Resumes!$D$2:$D$101,MATCH(A190,Resumes!$A$2:$A$101,0))</f>
        <v>BBA</v>
      </c>
      <c r="D190" s="24">
        <f>INDEX(Resumes!$E$2:$E$101,MATCH(A190,Resumes!$A$2:$A$101,0))</f>
        <v>1.3</v>
      </c>
      <c r="E190" s="24" t="str">
        <f>INDEX(Resumes!$G$2:$G$101,MATCH(A190,Resumes!$A$2:$A$101,0))</f>
        <v>Google Analytics, inventory planning, Excel, labour law, user research, Power BI, financial modelling</v>
      </c>
      <c r="F190" s="24" t="str">
        <f>INDEX(Resumes!$I$2:$I$101,MATCH(A190,Resumes!$A$2:$A$101,0))</f>
        <v>Thomas Nair, BBA from a tier-3 institute. 1.3 years of experience, most recently at a fintech start-up. Key skills: Google Analytics, inventory planning, Excel, labour law, user research, Power BI, financial modelling. Achievement: improved vendor on-time delivery from 78% to 92%. Career gap: None.</v>
      </c>
      <c r="G190" s="24" t="str">
        <f t="shared" si="55"/>
        <v>improved vendor on-time delivery from 78% to 92%</v>
      </c>
      <c r="H190" s="24">
        <f>INDEX('Scoring Prompt'!$C$22:$C$23,MATCH(B190,'Scoring Prompt'!$A$22:$A$23,0))</f>
        <v>3</v>
      </c>
      <c r="I190" s="24">
        <f>INDEX('Scoring Prompt'!$D$22:$D$23,MATCH(B190,'Scoring Prompt'!$A$22:$A$23,0))</f>
        <v>6</v>
      </c>
      <c r="J190" s="24">
        <f>INDEX('Scoring Prompt'!$B$27:$C$34,MATCH(C190,'Scoring Prompt'!$A$27:$A$34,0),MATCH(B190,'Scoring Prompt'!$B$26:$C$26,0))</f>
        <v>5</v>
      </c>
      <c r="K190" s="24">
        <f>IF(AND(D190&gt;=H190,D190&lt;=I190),'Scoring Prompt'!$B$47,IF(D190&lt;H190,IF(H190-D190&lt;=1,'Scoring Prompt'!$B$48,IF(H190-D190&lt;=2,'Scoring Prompt'!$B$49,'Scoring Prompt'!$B$50)),IF(D190-I190&lt;=2,'Scoring Prompt'!$B$51,'Scoring Prompt'!$B$52)))</f>
        <v>8</v>
      </c>
      <c r="L190" s="24">
        <f>IF(B190="JD3",SUMPRODUCT(--ISNUMBER(SEARCH('Scoring Prompt'!$E$22:$I$22,E190))),SUMPRODUCT(--ISNUMBER(SEARCH('Scoring Prompt'!$E$23:$I$23,E190))))</f>
        <v>1</v>
      </c>
      <c r="M190" s="24">
        <f t="shared" si="56"/>
        <v>8</v>
      </c>
      <c r="N190" s="24">
        <f>INDEX('Scoring Prompt'!$B$38:$C$43,MATCH(G190,'Scoring Prompt'!$A$38:$A$43,0),MATCH(B190,'Scoring Prompt'!$B$37:$C$37,0))</f>
        <v>4</v>
      </c>
      <c r="O190" s="24">
        <f t="shared" si="57"/>
        <v>25</v>
      </c>
      <c r="P190" s="24">
        <f>'Scored Shortlist'!E190</f>
        <v>5</v>
      </c>
      <c r="Q190" s="24">
        <f>'Scored Shortlist'!F190</f>
        <v>8</v>
      </c>
      <c r="R190" s="24">
        <f>'Scored Shortlist'!G190</f>
        <v>12</v>
      </c>
      <c r="S190" s="24">
        <f>'Scored Shortlist'!H190</f>
        <v>4</v>
      </c>
      <c r="T190" s="24">
        <f>'Scored Shortlist'!I190</f>
        <v>29</v>
      </c>
      <c r="U190" s="24">
        <f>IF('Scored Shortlist'!M190="none",0,(LEN('Scored Shortlist'!M190)-LEN(SUBSTITUTE('Scored Shortlist'!M190,"&lt;-","")))/2)</f>
        <v>1</v>
      </c>
      <c r="V190" s="24">
        <f t="shared" si="58"/>
        <v>1</v>
      </c>
      <c r="W190" s="24">
        <f t="shared" si="59"/>
        <v>1</v>
      </c>
      <c r="X190" s="24">
        <f t="shared" si="60"/>
        <v>1</v>
      </c>
      <c r="Y190" s="24">
        <f t="shared" si="61"/>
        <v>4</v>
      </c>
      <c r="Z190" s="24">
        <f t="shared" si="62"/>
        <v>4</v>
      </c>
      <c r="AA190" s="24">
        <f t="shared" si="63"/>
        <v>1</v>
      </c>
      <c r="AB190" s="25" t="str">
        <f t="shared" si="64"/>
        <v>OK</v>
      </c>
      <c r="AC190" s="24" t="str">
        <f t="shared" si="65"/>
        <v>Not shortlisted</v>
      </c>
      <c r="AD190" s="24" t="str">
        <f>IF(ISNUMBER(SEARCH(" "&amp;LEFT('Scored Shortlist'!B190,FIND(" ",'Scored Shortlist'!B190)-1)&amp;" "," "&amp;'Scored Shortlist'!N190&amp;" ")),"YES","no")</f>
        <v>no</v>
      </c>
    </row>
    <row r="191" spans="1:30" x14ac:dyDescent="0.25">
      <c r="A191" s="24" t="str">
        <f>'Scored Shortlist'!A191</f>
        <v>CV073</v>
      </c>
      <c r="B191" s="24" t="str">
        <f>'Scored Shortlist'!C191</f>
        <v>JD5</v>
      </c>
      <c r="C191" s="24" t="str">
        <f>INDEX(Resumes!$D$2:$D$101,MATCH(A191,Resumes!$A$2:$A$101,0))</f>
        <v>CA</v>
      </c>
      <c r="D191" s="24">
        <f>INDEX(Resumes!$E$2:$E$101,MATCH(A191,Resumes!$A$2:$A$101,0))</f>
        <v>7.7</v>
      </c>
      <c r="E191" s="24" t="str">
        <f>INDEX(Resumes!$G$2:$G$101,MATCH(A191,Resumes!$A$2:$A$101,0))</f>
        <v>financial modelling, vendor management, recruitment, inventory planning, Excel, content writing, public speaking</v>
      </c>
      <c r="F191" s="24" t="str">
        <f>INDEX(Resumes!$I$2:$I$101,MATCH(A191,Resumes!$A$2:$A$101,0))</f>
        <v>Gauri Kulkarni, CA from a tier-1 institute. 7.7 years of experience, most recently at an IT services firm. Key skills: financial modelling, vendor management, recruitment, inventory planning, Excel, content writing, public speaking. Achievement: improved vendor on-time delivery from 78% to 92%. Career gap: None.</v>
      </c>
      <c r="G191" s="24" t="str">
        <f t="shared" si="55"/>
        <v>improved vendor on-time delivery from 78% to 92%</v>
      </c>
      <c r="H191" s="24">
        <f>INDEX('Scoring Prompt'!$C$22:$C$23,MATCH(B191,'Scoring Prompt'!$A$22:$A$23,0))</f>
        <v>3</v>
      </c>
      <c r="I191" s="24">
        <f>INDEX('Scoring Prompt'!$D$22:$D$23,MATCH(B191,'Scoring Prompt'!$A$22:$A$23,0))</f>
        <v>6</v>
      </c>
      <c r="J191" s="24">
        <f>INDEX('Scoring Prompt'!$B$27:$C$34,MATCH(C191,'Scoring Prompt'!$A$27:$A$34,0),MATCH(B191,'Scoring Prompt'!$B$26:$C$26,0))</f>
        <v>5</v>
      </c>
      <c r="K191" s="24">
        <f>IF(AND(D191&gt;=H191,D191&lt;=I191),'Scoring Prompt'!$B$47,IF(D191&lt;H191,IF(H191-D191&lt;=1,'Scoring Prompt'!$B$48,IF(H191-D191&lt;=2,'Scoring Prompt'!$B$49,'Scoring Prompt'!$B$50)),IF(D191-I191&lt;=2,'Scoring Prompt'!$B$51,'Scoring Prompt'!$B$52)))</f>
        <v>20</v>
      </c>
      <c r="L191" s="24">
        <f>IF(B191="JD3",SUMPRODUCT(--ISNUMBER(SEARCH('Scoring Prompt'!$E$22:$I$22,E191))),SUMPRODUCT(--ISNUMBER(SEARCH('Scoring Prompt'!$E$23:$I$23,E191))))</f>
        <v>0</v>
      </c>
      <c r="M191" s="24">
        <f t="shared" si="56"/>
        <v>0</v>
      </c>
      <c r="N191" s="24">
        <f>INDEX('Scoring Prompt'!$B$38:$C$43,MATCH(G191,'Scoring Prompt'!$A$38:$A$43,0),MATCH(B191,'Scoring Prompt'!$B$37:$C$37,0))</f>
        <v>4</v>
      </c>
      <c r="O191" s="24">
        <f t="shared" si="57"/>
        <v>29</v>
      </c>
      <c r="P191" s="24">
        <f>'Scored Shortlist'!E191</f>
        <v>5</v>
      </c>
      <c r="Q191" s="24">
        <f>'Scored Shortlist'!F191</f>
        <v>20</v>
      </c>
      <c r="R191" s="24">
        <f>'Scored Shortlist'!G191</f>
        <v>0</v>
      </c>
      <c r="S191" s="24">
        <f>'Scored Shortlist'!H191</f>
        <v>4</v>
      </c>
      <c r="T191" s="24">
        <f>'Scored Shortlist'!I191</f>
        <v>29</v>
      </c>
      <c r="U191" s="24">
        <f>IF('Scored Shortlist'!M191="none",0,(LEN('Scored Shortlist'!M191)-LEN(SUBSTITUTE('Scored Shortlist'!M191,"&lt;-","")))/2)</f>
        <v>0</v>
      </c>
      <c r="V191" s="24">
        <f t="shared" si="58"/>
        <v>1</v>
      </c>
      <c r="W191" s="24">
        <f t="shared" si="59"/>
        <v>1</v>
      </c>
      <c r="X191" s="24">
        <f t="shared" si="60"/>
        <v>1</v>
      </c>
      <c r="Y191" s="24">
        <f t="shared" si="61"/>
        <v>0</v>
      </c>
      <c r="Z191" s="24">
        <f t="shared" si="62"/>
        <v>0</v>
      </c>
      <c r="AA191" s="24">
        <f t="shared" si="63"/>
        <v>1</v>
      </c>
      <c r="AB191" s="25" t="str">
        <f t="shared" si="64"/>
        <v>OK</v>
      </c>
      <c r="AC191" s="24" t="str">
        <f t="shared" si="65"/>
        <v>Not shortlisted</v>
      </c>
      <c r="AD191" s="24" t="str">
        <f>IF(ISNUMBER(SEARCH(" "&amp;LEFT('Scored Shortlist'!B191,FIND(" ",'Scored Shortlist'!B191)-1)&amp;" "," "&amp;'Scored Shortlist'!N191&amp;" ")),"YES","no")</f>
        <v>no</v>
      </c>
    </row>
    <row r="192" spans="1:30" x14ac:dyDescent="0.25">
      <c r="A192" s="24" t="str">
        <f>'Scored Shortlist'!A192</f>
        <v>CV088</v>
      </c>
      <c r="B192" s="24" t="str">
        <f>'Scored Shortlist'!C192</f>
        <v>JD5</v>
      </c>
      <c r="C192" s="24" t="str">
        <f>INDEX(Resumes!$D$2:$D$101,MATCH(A192,Resumes!$A$2:$A$101,0))</f>
        <v>BBA</v>
      </c>
      <c r="D192" s="24">
        <f>INDEX(Resumes!$E$2:$E$101,MATCH(A192,Resumes!$A$2:$A$101,0))</f>
        <v>1.3</v>
      </c>
      <c r="E192" s="24" t="str">
        <f>INDEX(Resumes!$G$2:$G$101,MATCH(A192,Resumes!$A$2:$A$101,0))</f>
        <v>financial modelling, vendor management, product roadmap, recruitment, valuation, UPI/payments, campaign management, demand forecasting</v>
      </c>
      <c r="F192" s="24" t="str">
        <f>INDEX(Resumes!$I$2:$I$101,MATCH(A192,Resumes!$A$2:$A$101,0))</f>
        <v>Manish Patil, BBA from a tier-2 institute. 1.3 years of experience, most recently at an IT services firm. Key skills: financial modelling, vendor management, product roadmap, recruitment, valuation, UPI/payments, campaign management, demand forecasting. Achievement: no major achievement listed. Career gap: None.</v>
      </c>
      <c r="G192" s="24" t="str">
        <f t="shared" si="55"/>
        <v>no major achievement listed</v>
      </c>
      <c r="H192" s="24">
        <f>INDEX('Scoring Prompt'!$C$22:$C$23,MATCH(B192,'Scoring Prompt'!$A$22:$A$23,0))</f>
        <v>3</v>
      </c>
      <c r="I192" s="24">
        <f>INDEX('Scoring Prompt'!$D$22:$D$23,MATCH(B192,'Scoring Prompt'!$A$22:$A$23,0))</f>
        <v>6</v>
      </c>
      <c r="J192" s="24">
        <f>INDEX('Scoring Prompt'!$B$27:$C$34,MATCH(C192,'Scoring Prompt'!$A$27:$A$34,0),MATCH(B192,'Scoring Prompt'!$B$26:$C$26,0))</f>
        <v>5</v>
      </c>
      <c r="K192" s="24">
        <f>IF(AND(D192&gt;=H192,D192&lt;=I192),'Scoring Prompt'!$B$47,IF(D192&lt;H192,IF(H192-D192&lt;=1,'Scoring Prompt'!$B$48,IF(H192-D192&lt;=2,'Scoring Prompt'!$B$49,'Scoring Prompt'!$B$50)),IF(D192-I192&lt;=2,'Scoring Prompt'!$B$51,'Scoring Prompt'!$B$52)))</f>
        <v>8</v>
      </c>
      <c r="L192" s="24">
        <f>IF(B192="JD3",SUMPRODUCT(--ISNUMBER(SEARCH('Scoring Prompt'!$E$22:$I$22,E192))),SUMPRODUCT(--ISNUMBER(SEARCH('Scoring Prompt'!$E$23:$I$23,E192))))</f>
        <v>2</v>
      </c>
      <c r="M192" s="24">
        <f t="shared" si="56"/>
        <v>16</v>
      </c>
      <c r="N192" s="24">
        <f>INDEX('Scoring Prompt'!$B$38:$C$43,MATCH(G192,'Scoring Prompt'!$A$38:$A$43,0),MATCH(B192,'Scoring Prompt'!$B$37:$C$37,0))</f>
        <v>0</v>
      </c>
      <c r="O192" s="24">
        <f t="shared" si="57"/>
        <v>29</v>
      </c>
      <c r="P192" s="24">
        <f>'Scored Shortlist'!E192</f>
        <v>5</v>
      </c>
      <c r="Q192" s="24">
        <f>'Scored Shortlist'!F192</f>
        <v>8</v>
      </c>
      <c r="R192" s="24">
        <f>'Scored Shortlist'!G192</f>
        <v>16</v>
      </c>
      <c r="S192" s="24">
        <f>'Scored Shortlist'!H192</f>
        <v>0</v>
      </c>
      <c r="T192" s="24">
        <f>'Scored Shortlist'!I192</f>
        <v>29</v>
      </c>
      <c r="U192" s="24">
        <f>IF('Scored Shortlist'!M192="none",0,(LEN('Scored Shortlist'!M192)-LEN(SUBSTITUTE('Scored Shortlist'!M192,"&lt;-","")))/2)</f>
        <v>0</v>
      </c>
      <c r="V192" s="24">
        <f t="shared" si="58"/>
        <v>1</v>
      </c>
      <c r="W192" s="24">
        <f t="shared" si="59"/>
        <v>1</v>
      </c>
      <c r="X192" s="24">
        <f t="shared" si="60"/>
        <v>1</v>
      </c>
      <c r="Y192" s="24">
        <f t="shared" si="61"/>
        <v>0</v>
      </c>
      <c r="Z192" s="24">
        <f t="shared" si="62"/>
        <v>0</v>
      </c>
      <c r="AA192" s="24">
        <f t="shared" si="63"/>
        <v>1</v>
      </c>
      <c r="AB192" s="25" t="str">
        <f t="shared" si="64"/>
        <v>OK</v>
      </c>
      <c r="AC192" s="24" t="str">
        <f t="shared" si="65"/>
        <v>Not shortlisted</v>
      </c>
      <c r="AD192" s="24" t="str">
        <f>IF(ISNUMBER(SEARCH(" "&amp;LEFT('Scored Shortlist'!B192,FIND(" ",'Scored Shortlist'!B192)-1)&amp;" "," "&amp;'Scored Shortlist'!N192&amp;" ")),"YES","no")</f>
        <v>no</v>
      </c>
    </row>
    <row r="193" spans="1:30" x14ac:dyDescent="0.25">
      <c r="A193" s="24" t="str">
        <f>'Scored Shortlist'!A193</f>
        <v>CV018</v>
      </c>
      <c r="B193" s="24" t="str">
        <f>'Scored Shortlist'!C193</f>
        <v>JD5</v>
      </c>
      <c r="C193" s="24" t="str">
        <f>INDEX(Resumes!$D$2:$D$101,MATCH(A193,Resumes!$A$2:$A$101,0))</f>
        <v>B.Com</v>
      </c>
      <c r="D193" s="24">
        <f>INDEX(Resumes!$E$2:$E$101,MATCH(A193,Resumes!$A$2:$A$101,0))</f>
        <v>9</v>
      </c>
      <c r="E193" s="24" t="str">
        <f>INDEX(Resumes!$G$2:$G$101,MATCH(A193,Resumes!$A$2:$A$101,0))</f>
        <v>public speaking, Python, negotiation, inventory planning</v>
      </c>
      <c r="F193" s="24" t="str">
        <f>INDEX(Resumes!$I$2:$I$101,MATCH(A193,Resumes!$A$2:$A$101,0))</f>
        <v>Harpreet Jadhav, B.Com from a tier-2 institute. 9.0 years of experience, most recently at a bank. Key skills: public speaking, Python, negotiation, inventory planning. Achievement: built a Power BI sales dashboard used by 30 managers. Career gap: None.</v>
      </c>
      <c r="G193" s="24" t="str">
        <f t="shared" si="55"/>
        <v>built a Power BI sales dashboard used by 30 managers</v>
      </c>
      <c r="H193" s="24">
        <f>INDEX('Scoring Prompt'!$C$22:$C$23,MATCH(B193,'Scoring Prompt'!$A$22:$A$23,0))</f>
        <v>3</v>
      </c>
      <c r="I193" s="24">
        <f>INDEX('Scoring Prompt'!$D$22:$D$23,MATCH(B193,'Scoring Prompt'!$A$22:$A$23,0))</f>
        <v>6</v>
      </c>
      <c r="J193" s="24">
        <f>INDEX('Scoring Prompt'!$B$27:$C$34,MATCH(C193,'Scoring Prompt'!$A$27:$A$34,0),MATCH(B193,'Scoring Prompt'!$B$26:$C$26,0))</f>
        <v>5</v>
      </c>
      <c r="K193" s="24">
        <f>IF(AND(D193&gt;=H193,D193&lt;=I193),'Scoring Prompt'!$B$47,IF(D193&lt;H193,IF(H193-D193&lt;=1,'Scoring Prompt'!$B$48,IF(H193-D193&lt;=2,'Scoring Prompt'!$B$49,'Scoring Prompt'!$B$50)),IF(D193-I193&lt;=2,'Scoring Prompt'!$B$51,'Scoring Prompt'!$B$52)))</f>
        <v>12</v>
      </c>
      <c r="L193" s="24">
        <f>IF(B193="JD3",SUMPRODUCT(--ISNUMBER(SEARCH('Scoring Prompt'!$E$22:$I$22,E193))),SUMPRODUCT(--ISNUMBER(SEARCH('Scoring Prompt'!$E$23:$I$23,E193))))</f>
        <v>0</v>
      </c>
      <c r="M193" s="24">
        <f t="shared" si="56"/>
        <v>0</v>
      </c>
      <c r="N193" s="24">
        <f>INDEX('Scoring Prompt'!$B$38:$C$43,MATCH(G193,'Scoring Prompt'!$A$38:$A$43,0),MATCH(B193,'Scoring Prompt'!$B$37:$C$37,0))</f>
        <v>7</v>
      </c>
      <c r="O193" s="24">
        <f t="shared" si="57"/>
        <v>24</v>
      </c>
      <c r="P193" s="24">
        <f>'Scored Shortlist'!E193</f>
        <v>5</v>
      </c>
      <c r="Q193" s="24">
        <f>'Scored Shortlist'!F193</f>
        <v>12</v>
      </c>
      <c r="R193" s="24">
        <f>'Scored Shortlist'!G193</f>
        <v>4</v>
      </c>
      <c r="S193" s="24">
        <f>'Scored Shortlist'!H193</f>
        <v>7</v>
      </c>
      <c r="T193" s="24">
        <f>'Scored Shortlist'!I193</f>
        <v>28</v>
      </c>
      <c r="U193" s="24">
        <f>IF('Scored Shortlist'!M193="none",0,(LEN('Scored Shortlist'!M193)-LEN(SUBSTITUTE('Scored Shortlist'!M193,"&lt;-","")))/2)</f>
        <v>1</v>
      </c>
      <c r="V193" s="24">
        <f t="shared" si="58"/>
        <v>1</v>
      </c>
      <c r="W193" s="24">
        <f t="shared" si="59"/>
        <v>1</v>
      </c>
      <c r="X193" s="24">
        <f t="shared" si="60"/>
        <v>1</v>
      </c>
      <c r="Y193" s="24">
        <f t="shared" si="61"/>
        <v>4</v>
      </c>
      <c r="Z193" s="24">
        <f t="shared" si="62"/>
        <v>4</v>
      </c>
      <c r="AA193" s="24">
        <f t="shared" si="63"/>
        <v>1</v>
      </c>
      <c r="AB193" s="25" t="str">
        <f t="shared" si="64"/>
        <v>OK</v>
      </c>
      <c r="AC193" s="24" t="str">
        <f t="shared" si="65"/>
        <v>Not shortlisted</v>
      </c>
      <c r="AD193" s="24" t="str">
        <f>IF(ISNUMBER(SEARCH(" "&amp;LEFT('Scored Shortlist'!B193,FIND(" ",'Scored Shortlist'!B193)-1)&amp;" "," "&amp;'Scored Shortlist'!N193&amp;" ")),"YES","no")</f>
        <v>no</v>
      </c>
    </row>
    <row r="194" spans="1:30" x14ac:dyDescent="0.25">
      <c r="A194" s="24" t="str">
        <f>'Scored Shortlist'!A194</f>
        <v>CV098</v>
      </c>
      <c r="B194" s="24" t="str">
        <f>'Scored Shortlist'!C194</f>
        <v>JD5</v>
      </c>
      <c r="C194" s="24" t="str">
        <f>INDEX(Resumes!$D$2:$D$101,MATCH(A194,Resumes!$A$2:$A$101,0))</f>
        <v>MBA HR</v>
      </c>
      <c r="D194" s="24">
        <f>INDEX(Resumes!$E$2:$E$101,MATCH(A194,Resumes!$A$2:$A$101,0))</f>
        <v>1.8</v>
      </c>
      <c r="E194" s="24" t="str">
        <f>INDEX(Resumes!$G$2:$G$101,MATCH(A194,Resumes!$A$2:$A$101,0))</f>
        <v>financial modelling, content writing, inventory planning, Tableau, public speaking</v>
      </c>
      <c r="F194" s="24" t="str">
        <f>INDEX(Resumes!$I$2:$I$101,MATCH(A194,Resumes!$A$2:$A$101,0))</f>
        <v>Harleen Joshi, MBA HR from a tier-3 institute. 1.8 years of experience, most recently at a manufacturing company. Key skills: financial modelling, content writing, inventory planning, Tableau, public speaking. Achievement: handled 120 hires in one year. Career gap: None.</v>
      </c>
      <c r="G194" s="24" t="str">
        <f t="shared" si="55"/>
        <v>handled 120 hires in one year</v>
      </c>
      <c r="H194" s="24">
        <f>INDEX('Scoring Prompt'!$C$22:$C$23,MATCH(B194,'Scoring Prompt'!$A$22:$A$23,0))</f>
        <v>3</v>
      </c>
      <c r="I194" s="24">
        <f>INDEX('Scoring Prompt'!$D$22:$D$23,MATCH(B194,'Scoring Prompt'!$A$22:$A$23,0))</f>
        <v>6</v>
      </c>
      <c r="J194" s="24">
        <f>INDEX('Scoring Prompt'!$B$27:$C$34,MATCH(C194,'Scoring Prompt'!$A$27:$A$34,0),MATCH(B194,'Scoring Prompt'!$B$26:$C$26,0))</f>
        <v>15</v>
      </c>
      <c r="K194" s="24">
        <f>IF(AND(D194&gt;=H194,D194&lt;=I194),'Scoring Prompt'!$B$47,IF(D194&lt;H194,IF(H194-D194&lt;=1,'Scoring Prompt'!$B$48,IF(H194-D194&lt;=2,'Scoring Prompt'!$B$49,'Scoring Prompt'!$B$50)),IF(D194-I194&lt;=2,'Scoring Prompt'!$B$51,'Scoring Prompt'!$B$52)))</f>
        <v>8</v>
      </c>
      <c r="L194" s="24">
        <f>IF(B194="JD3",SUMPRODUCT(--ISNUMBER(SEARCH('Scoring Prompt'!$E$22:$I$22,E194))),SUMPRODUCT(--ISNUMBER(SEARCH('Scoring Prompt'!$E$23:$I$23,E194))))</f>
        <v>0</v>
      </c>
      <c r="M194" s="24">
        <f t="shared" si="56"/>
        <v>0</v>
      </c>
      <c r="N194" s="24">
        <f>INDEX('Scoring Prompt'!$B$38:$C$43,MATCH(G194,'Scoring Prompt'!$A$38:$A$43,0),MATCH(B194,'Scoring Prompt'!$B$37:$C$37,0))</f>
        <v>3</v>
      </c>
      <c r="O194" s="24">
        <f t="shared" si="57"/>
        <v>26</v>
      </c>
      <c r="P194" s="24">
        <f>'Scored Shortlist'!E194</f>
        <v>15</v>
      </c>
      <c r="Q194" s="24">
        <f>'Scored Shortlist'!F194</f>
        <v>8</v>
      </c>
      <c r="R194" s="24">
        <f>'Scored Shortlist'!G194</f>
        <v>0</v>
      </c>
      <c r="S194" s="24">
        <f>'Scored Shortlist'!H194</f>
        <v>3</v>
      </c>
      <c r="T194" s="24">
        <f>'Scored Shortlist'!I194</f>
        <v>26</v>
      </c>
      <c r="U194" s="24">
        <f>IF('Scored Shortlist'!M194="none",0,(LEN('Scored Shortlist'!M194)-LEN(SUBSTITUTE('Scored Shortlist'!M194,"&lt;-","")))/2)</f>
        <v>0</v>
      </c>
      <c r="V194" s="24">
        <f t="shared" si="58"/>
        <v>1</v>
      </c>
      <c r="W194" s="24">
        <f t="shared" si="59"/>
        <v>1</v>
      </c>
      <c r="X194" s="24">
        <f t="shared" si="60"/>
        <v>1</v>
      </c>
      <c r="Y194" s="24">
        <f t="shared" si="61"/>
        <v>0</v>
      </c>
      <c r="Z194" s="24">
        <f t="shared" si="62"/>
        <v>0</v>
      </c>
      <c r="AA194" s="24">
        <f t="shared" si="63"/>
        <v>1</v>
      </c>
      <c r="AB194" s="25" t="str">
        <f t="shared" si="64"/>
        <v>OK</v>
      </c>
      <c r="AC194" s="24" t="str">
        <f t="shared" si="65"/>
        <v>Not shortlisted</v>
      </c>
      <c r="AD194" s="24" t="str">
        <f>IF(ISNUMBER(SEARCH(" "&amp;LEFT('Scored Shortlist'!B194,FIND(" ",'Scored Shortlist'!B194)-1)&amp;" "," "&amp;'Scored Shortlist'!N194&amp;" ")),"YES","no")</f>
        <v>no</v>
      </c>
    </row>
    <row r="195" spans="1:30" x14ac:dyDescent="0.25">
      <c r="A195" s="24" t="str">
        <f>'Scored Shortlist'!A195</f>
        <v>CV095</v>
      </c>
      <c r="B195" s="24" t="str">
        <f>'Scored Shortlist'!C195</f>
        <v>JD5</v>
      </c>
      <c r="C195" s="24" t="str">
        <f>INDEX(Resumes!$D$2:$D$101,MATCH(A195,Resumes!$A$2:$A$101,0))</f>
        <v>CA</v>
      </c>
      <c r="D195" s="24">
        <f>INDEX(Resumes!$E$2:$E$101,MATCH(A195,Resumes!$A$2:$A$101,0))</f>
        <v>0</v>
      </c>
      <c r="E195" s="24" t="str">
        <f>INDEX(Resumes!$G$2:$G$101,MATCH(A195,Resumes!$A$2:$A$101,0))</f>
        <v>agile, inventory planning, HR analytics, content writing, stakeholder management, recruitment, SQL, SEO</v>
      </c>
      <c r="F195" s="24" t="str">
        <f>INDEX(Resumes!$I$2:$I$101,MATCH(A195,Resumes!$A$2:$A$101,0))</f>
        <v>Deepak Nair, CA from a tier-2 institute. 0.0 years of experience, most recently at a retail chain. Key skills: agile, inventory planning, HR analytics, content writing, stakeholder management, recruitment, SQL, SEO. Achievement: improved vendor on-time delivery from 78% to 92%. Career gap: None.</v>
      </c>
      <c r="G195" s="24" t="str">
        <f t="shared" si="55"/>
        <v>improved vendor on-time delivery from 78% to 92%</v>
      </c>
      <c r="H195" s="24">
        <f>INDEX('Scoring Prompt'!$C$22:$C$23,MATCH(B195,'Scoring Prompt'!$A$22:$A$23,0))</f>
        <v>3</v>
      </c>
      <c r="I195" s="24">
        <f>INDEX('Scoring Prompt'!$D$22:$D$23,MATCH(B195,'Scoring Prompt'!$A$22:$A$23,0))</f>
        <v>6</v>
      </c>
      <c r="J195" s="24">
        <f>INDEX('Scoring Prompt'!$B$27:$C$34,MATCH(C195,'Scoring Prompt'!$A$27:$A$34,0),MATCH(B195,'Scoring Prompt'!$B$26:$C$26,0))</f>
        <v>5</v>
      </c>
      <c r="K195" s="24">
        <f>IF(AND(D195&gt;=H195,D195&lt;=I195),'Scoring Prompt'!$B$47,IF(D195&lt;H195,IF(H195-D195&lt;=1,'Scoring Prompt'!$B$48,IF(H195-D195&lt;=2,'Scoring Prompt'!$B$49,'Scoring Prompt'!$B$50)),IF(D195-I195&lt;=2,'Scoring Prompt'!$B$51,'Scoring Prompt'!$B$52)))</f>
        <v>0</v>
      </c>
      <c r="L195" s="24">
        <f>IF(B195="JD3",SUMPRODUCT(--ISNUMBER(SEARCH('Scoring Prompt'!$E$22:$I$22,E195))),SUMPRODUCT(--ISNUMBER(SEARCH('Scoring Prompt'!$E$23:$I$23,E195))))</f>
        <v>2</v>
      </c>
      <c r="M195" s="24">
        <f t="shared" si="56"/>
        <v>16</v>
      </c>
      <c r="N195" s="24">
        <f>INDEX('Scoring Prompt'!$B$38:$C$43,MATCH(G195,'Scoring Prompt'!$A$38:$A$43,0),MATCH(B195,'Scoring Prompt'!$B$37:$C$37,0))</f>
        <v>4</v>
      </c>
      <c r="O195" s="24">
        <f t="shared" si="57"/>
        <v>25</v>
      </c>
      <c r="P195" s="24">
        <f>'Scored Shortlist'!E195</f>
        <v>5</v>
      </c>
      <c r="Q195" s="24">
        <f>'Scored Shortlist'!F195</f>
        <v>0</v>
      </c>
      <c r="R195" s="24">
        <f>'Scored Shortlist'!G195</f>
        <v>16</v>
      </c>
      <c r="S195" s="24">
        <f>'Scored Shortlist'!H195</f>
        <v>4</v>
      </c>
      <c r="T195" s="24">
        <f>'Scored Shortlist'!I195</f>
        <v>25</v>
      </c>
      <c r="U195" s="24">
        <f>IF('Scored Shortlist'!M195="none",0,(LEN('Scored Shortlist'!M195)-LEN(SUBSTITUTE('Scored Shortlist'!M195,"&lt;-","")))/2)</f>
        <v>0</v>
      </c>
      <c r="V195" s="24">
        <f t="shared" si="58"/>
        <v>1</v>
      </c>
      <c r="W195" s="24">
        <f t="shared" si="59"/>
        <v>1</v>
      </c>
      <c r="X195" s="24">
        <f t="shared" si="60"/>
        <v>1</v>
      </c>
      <c r="Y195" s="24">
        <f t="shared" si="61"/>
        <v>0</v>
      </c>
      <c r="Z195" s="24">
        <f t="shared" si="62"/>
        <v>0</v>
      </c>
      <c r="AA195" s="24">
        <f t="shared" si="63"/>
        <v>1</v>
      </c>
      <c r="AB195" s="25" t="str">
        <f t="shared" si="64"/>
        <v>OK</v>
      </c>
      <c r="AC195" s="24" t="str">
        <f t="shared" si="65"/>
        <v>Not shortlisted</v>
      </c>
      <c r="AD195" s="24" t="str">
        <f>IF(ISNUMBER(SEARCH(" "&amp;LEFT('Scored Shortlist'!B195,FIND(" ",'Scored Shortlist'!B195)-1)&amp;" "," "&amp;'Scored Shortlist'!N195&amp;" ")),"YES","no")</f>
        <v>no</v>
      </c>
    </row>
    <row r="196" spans="1:30" x14ac:dyDescent="0.25">
      <c r="A196" s="24" t="str">
        <f>'Scored Shortlist'!A196</f>
        <v>CV100</v>
      </c>
      <c r="B196" s="24" t="str">
        <f>'Scored Shortlist'!C196</f>
        <v>JD5</v>
      </c>
      <c r="C196" s="24" t="str">
        <f>INDEX(Resumes!$D$2:$D$101,MATCH(A196,Resumes!$A$2:$A$101,0))</f>
        <v>B.Com</v>
      </c>
      <c r="D196" s="24">
        <f>INDEX(Resumes!$E$2:$E$101,MATCH(A196,Resumes!$A$2:$A$101,0))</f>
        <v>1.6</v>
      </c>
      <c r="E196" s="24" t="str">
        <f>INDEX(Resumes!$G$2:$G$101,MATCH(A196,Resumes!$A$2:$A$101,0))</f>
        <v>content writing, product roadmap, labour law, public speaking</v>
      </c>
      <c r="F196" s="24" t="str">
        <f>INDEX(Resumes!$I$2:$I$101,MATCH(A196,Resumes!$A$2:$A$101,0))</f>
        <v>Siddharth Kulkarni, B.Com from a tier-2 institute. 1.6 years of experience, most recently at a fintech start-up. Key skills: content writing, product roadmap, labour law, public speaking. Achievement: no major achievement listed. Career gap: None.</v>
      </c>
      <c r="G196" s="24" t="str">
        <f t="shared" ref="G196:G227" si="66">MID(F196,FIND("Achievement: ",F196)+13,FIND(". Career gap",F196)-FIND("Achievement: ",F196)-13)</f>
        <v>no major achievement listed</v>
      </c>
      <c r="H196" s="24">
        <f>INDEX('Scoring Prompt'!$C$22:$C$23,MATCH(B196,'Scoring Prompt'!$A$22:$A$23,0))</f>
        <v>3</v>
      </c>
      <c r="I196" s="24">
        <f>INDEX('Scoring Prompt'!$D$22:$D$23,MATCH(B196,'Scoring Prompt'!$A$22:$A$23,0))</f>
        <v>6</v>
      </c>
      <c r="J196" s="24">
        <f>INDEX('Scoring Prompt'!$B$27:$C$34,MATCH(C196,'Scoring Prompt'!$A$27:$A$34,0),MATCH(B196,'Scoring Prompt'!$B$26:$C$26,0))</f>
        <v>5</v>
      </c>
      <c r="K196" s="24">
        <f>IF(AND(D196&gt;=H196,D196&lt;=I196),'Scoring Prompt'!$B$47,IF(D196&lt;H196,IF(H196-D196&lt;=1,'Scoring Prompt'!$B$48,IF(H196-D196&lt;=2,'Scoring Prompt'!$B$49,'Scoring Prompt'!$B$50)),IF(D196-I196&lt;=2,'Scoring Prompt'!$B$51,'Scoring Prompt'!$B$52)))</f>
        <v>8</v>
      </c>
      <c r="L196" s="24">
        <f>IF(B196="JD3",SUMPRODUCT(--ISNUMBER(SEARCH('Scoring Prompt'!$E$22:$I$22,E196))),SUMPRODUCT(--ISNUMBER(SEARCH('Scoring Prompt'!$E$23:$I$23,E196))))</f>
        <v>1</v>
      </c>
      <c r="M196" s="24">
        <f t="shared" ref="M196:M227" si="67">8*L196</f>
        <v>8</v>
      </c>
      <c r="N196" s="24">
        <f>INDEX('Scoring Prompt'!$B$38:$C$43,MATCH(G196,'Scoring Prompt'!$A$38:$A$43,0),MATCH(B196,'Scoring Prompt'!$B$37:$C$37,0))</f>
        <v>0</v>
      </c>
      <c r="O196" s="24">
        <f t="shared" ref="O196:O227" si="68">J196+K196+M196+N196</f>
        <v>21</v>
      </c>
      <c r="P196" s="24">
        <f>'Scored Shortlist'!E196</f>
        <v>5</v>
      </c>
      <c r="Q196" s="24">
        <f>'Scored Shortlist'!F196</f>
        <v>8</v>
      </c>
      <c r="R196" s="24">
        <f>'Scored Shortlist'!G196</f>
        <v>12</v>
      </c>
      <c r="S196" s="24">
        <f>'Scored Shortlist'!H196</f>
        <v>0</v>
      </c>
      <c r="T196" s="24">
        <f>'Scored Shortlist'!I196</f>
        <v>25</v>
      </c>
      <c r="U196" s="24">
        <f>IF('Scored Shortlist'!M196="none",0,(LEN('Scored Shortlist'!M196)-LEN(SUBSTITUTE('Scored Shortlist'!M196,"&lt;-","")))/2)</f>
        <v>1</v>
      </c>
      <c r="V196" s="24">
        <f t="shared" ref="V196:V203" si="69">IF(P196=J196,1,0)</f>
        <v>1</v>
      </c>
      <c r="W196" s="24">
        <f t="shared" ref="W196:W203" si="70">IF(Q196=K196,1,0)</f>
        <v>1</v>
      </c>
      <c r="X196" s="24">
        <f t="shared" ref="X196:X203" si="71">IF(S196=N196,1,0)</f>
        <v>1</v>
      </c>
      <c r="Y196" s="24">
        <f t="shared" ref="Y196:Y203" si="72">R196-M196</f>
        <v>4</v>
      </c>
      <c r="Z196" s="24">
        <f t="shared" ref="Z196:Z203" si="73">4*U196</f>
        <v>4</v>
      </c>
      <c r="AA196" s="24">
        <f t="shared" ref="AA196:AA227" si="74">IF(Y196=Z196,1,0)</f>
        <v>1</v>
      </c>
      <c r="AB196" s="25" t="str">
        <f t="shared" ref="AB196:AB227" si="75">IF(V196+W196+X196+AA196=4,"OK","CHECK")</f>
        <v>OK</v>
      </c>
      <c r="AC196" s="24" t="str">
        <f t="shared" ref="AC196:AC203" si="76">IF(AND(O196&gt;=SL_CUT,M196&gt;=SL_SKILL),"Shortlist",IF(AND(O196&gt;=RV_CUT,M196&gt;=RV_SKILL),"Review","Not shortlisted"))</f>
        <v>Not shortlisted</v>
      </c>
      <c r="AD196" s="24" t="str">
        <f>IF(ISNUMBER(SEARCH(" "&amp;LEFT('Scored Shortlist'!B196,FIND(" ",'Scored Shortlist'!B196)-1)&amp;" "," "&amp;'Scored Shortlist'!N196&amp;" ")),"YES","no")</f>
        <v>no</v>
      </c>
    </row>
    <row r="197" spans="1:30" x14ac:dyDescent="0.25">
      <c r="A197" s="24" t="str">
        <f>'Scored Shortlist'!A197</f>
        <v>CV048</v>
      </c>
      <c r="B197" s="24" t="str">
        <f>'Scored Shortlist'!C197</f>
        <v>JD5</v>
      </c>
      <c r="C197" s="24" t="str">
        <f>INDEX(Resumes!$D$2:$D$101,MATCH(A197,Resumes!$A$2:$A$101,0))</f>
        <v>BBA</v>
      </c>
      <c r="D197" s="24">
        <f>INDEX(Resumes!$E$2:$E$101,MATCH(A197,Resumes!$A$2:$A$101,0))</f>
        <v>1.1000000000000001</v>
      </c>
      <c r="E197" s="24" t="str">
        <f>INDEX(Resumes!$G$2:$G$101,MATCH(A197,Resumes!$A$2:$A$101,0))</f>
        <v>stakeholder management, Tableau, Google Analytics, user research, public speaking, labour law, inventory planning</v>
      </c>
      <c r="F197" s="24" t="str">
        <f>INDEX(Resumes!$I$2:$I$101,MATCH(A197,Resumes!$A$2:$A$101,0))</f>
        <v>Riya Gupta, BBA from a tier-2 institute. 1.1 years of experience, most recently at an FMCG distributor. Key skills: stakeholder management, Tableau, Google Analytics, user research, public speaking, labour law, inventory planning. Achievement: handled 120 hires in one year. Career gap: 6-month gap (exam preparation).</v>
      </c>
      <c r="G197" s="24" t="str">
        <f t="shared" si="66"/>
        <v>handled 120 hires in one year</v>
      </c>
      <c r="H197" s="24">
        <f>INDEX('Scoring Prompt'!$C$22:$C$23,MATCH(B197,'Scoring Prompt'!$A$22:$A$23,0))</f>
        <v>3</v>
      </c>
      <c r="I197" s="24">
        <f>INDEX('Scoring Prompt'!$D$22:$D$23,MATCH(B197,'Scoring Prompt'!$A$22:$A$23,0))</f>
        <v>6</v>
      </c>
      <c r="J197" s="24">
        <f>INDEX('Scoring Prompt'!$B$27:$C$34,MATCH(C197,'Scoring Prompt'!$A$27:$A$34,0),MATCH(B197,'Scoring Prompt'!$B$26:$C$26,0))</f>
        <v>5</v>
      </c>
      <c r="K197" s="24">
        <f>IF(AND(D197&gt;=H197,D197&lt;=I197),'Scoring Prompt'!$B$47,IF(D197&lt;H197,IF(H197-D197&lt;=1,'Scoring Prompt'!$B$48,IF(H197-D197&lt;=2,'Scoring Prompt'!$B$49,'Scoring Prompt'!$B$50)),IF(D197-I197&lt;=2,'Scoring Prompt'!$B$51,'Scoring Prompt'!$B$52)))</f>
        <v>8</v>
      </c>
      <c r="L197" s="24">
        <f>IF(B197="JD3",SUMPRODUCT(--ISNUMBER(SEARCH('Scoring Prompt'!$E$22:$I$22,E197))),SUMPRODUCT(--ISNUMBER(SEARCH('Scoring Prompt'!$E$23:$I$23,E197))))</f>
        <v>1</v>
      </c>
      <c r="M197" s="24">
        <f t="shared" si="67"/>
        <v>8</v>
      </c>
      <c r="N197" s="24">
        <f>INDEX('Scoring Prompt'!$B$38:$C$43,MATCH(G197,'Scoring Prompt'!$A$38:$A$43,0),MATCH(B197,'Scoring Prompt'!$B$37:$C$37,0))</f>
        <v>3</v>
      </c>
      <c r="O197" s="24">
        <f t="shared" si="68"/>
        <v>24</v>
      </c>
      <c r="P197" s="24">
        <f>'Scored Shortlist'!E197</f>
        <v>5</v>
      </c>
      <c r="Q197" s="24">
        <f>'Scored Shortlist'!F197</f>
        <v>8</v>
      </c>
      <c r="R197" s="24">
        <f>'Scored Shortlist'!G197</f>
        <v>8</v>
      </c>
      <c r="S197" s="24">
        <f>'Scored Shortlist'!H197</f>
        <v>3</v>
      </c>
      <c r="T197" s="24">
        <f>'Scored Shortlist'!I197</f>
        <v>24</v>
      </c>
      <c r="U197" s="24">
        <f>IF('Scored Shortlist'!M197="none",0,(LEN('Scored Shortlist'!M197)-LEN(SUBSTITUTE('Scored Shortlist'!M197,"&lt;-","")))/2)</f>
        <v>0</v>
      </c>
      <c r="V197" s="24">
        <f t="shared" si="69"/>
        <v>1</v>
      </c>
      <c r="W197" s="24">
        <f t="shared" si="70"/>
        <v>1</v>
      </c>
      <c r="X197" s="24">
        <f t="shared" si="71"/>
        <v>1</v>
      </c>
      <c r="Y197" s="24">
        <f t="shared" si="72"/>
        <v>0</v>
      </c>
      <c r="Z197" s="24">
        <f t="shared" si="73"/>
        <v>0</v>
      </c>
      <c r="AA197" s="24">
        <f t="shared" si="74"/>
        <v>1</v>
      </c>
      <c r="AB197" s="25" t="str">
        <f t="shared" si="75"/>
        <v>OK</v>
      </c>
      <c r="AC197" s="24" t="str">
        <f t="shared" si="76"/>
        <v>Not shortlisted</v>
      </c>
      <c r="AD197" s="24" t="str">
        <f>IF(ISNUMBER(SEARCH(" "&amp;LEFT('Scored Shortlist'!B197,FIND(" ",'Scored Shortlist'!B197)-1)&amp;" "," "&amp;'Scored Shortlist'!N197&amp;" ")),"YES","no")</f>
        <v>no</v>
      </c>
    </row>
    <row r="198" spans="1:30" x14ac:dyDescent="0.25">
      <c r="A198" s="24" t="str">
        <f>'Scored Shortlist'!A198</f>
        <v>CV065</v>
      </c>
      <c r="B198" s="24" t="str">
        <f>'Scored Shortlist'!C198</f>
        <v>JD5</v>
      </c>
      <c r="C198" s="24" t="str">
        <f>INDEX(Resumes!$D$2:$D$101,MATCH(A198,Resumes!$A$2:$A$101,0))</f>
        <v>MBA Finance</v>
      </c>
      <c r="D198" s="24">
        <f>INDEX(Resumes!$E$2:$E$101,MATCH(A198,Resumes!$A$2:$A$101,0))</f>
        <v>0.5</v>
      </c>
      <c r="E198" s="24" t="str">
        <f>INDEX(Resumes!$G$2:$G$101,MATCH(A198,Resumes!$A$2:$A$101,0))</f>
        <v>Tableau, stakeholder management, Excel, vendor management, content writing</v>
      </c>
      <c r="F198" s="24" t="str">
        <f>INDEX(Resumes!$I$2:$I$101,MATCH(A198,Resumes!$A$2:$A$101,0))</f>
        <v>Diya D'Souza, MBA Finance from a tier-2 institute. 0.5 years of experience, most recently at a bank. Key skills: Tableau, stakeholder management, Excel, vendor management, content writing. Achievement: led a 5-member campus marketing team. Career gap: None.</v>
      </c>
      <c r="G198" s="24" t="str">
        <f t="shared" si="66"/>
        <v>led a 5-member campus marketing team</v>
      </c>
      <c r="H198" s="24">
        <f>INDEX('Scoring Prompt'!$C$22:$C$23,MATCH(B198,'Scoring Prompt'!$A$22:$A$23,0))</f>
        <v>3</v>
      </c>
      <c r="I198" s="24">
        <f>INDEX('Scoring Prompt'!$D$22:$D$23,MATCH(B198,'Scoring Prompt'!$A$22:$A$23,0))</f>
        <v>6</v>
      </c>
      <c r="J198" s="24">
        <f>INDEX('Scoring Prompt'!$B$27:$C$34,MATCH(C198,'Scoring Prompt'!$A$27:$A$34,0),MATCH(B198,'Scoring Prompt'!$B$26:$C$26,0))</f>
        <v>15</v>
      </c>
      <c r="K198" s="24">
        <f>IF(AND(D198&gt;=H198,D198&lt;=I198),'Scoring Prompt'!$B$47,IF(D198&lt;H198,IF(H198-D198&lt;=1,'Scoring Prompt'!$B$48,IF(H198-D198&lt;=2,'Scoring Prompt'!$B$49,'Scoring Prompt'!$B$50)),IF(D198-I198&lt;=2,'Scoring Prompt'!$B$51,'Scoring Prompt'!$B$52)))</f>
        <v>0</v>
      </c>
      <c r="L198" s="24">
        <f>IF(B198="JD3",SUMPRODUCT(--ISNUMBER(SEARCH('Scoring Prompt'!$E$22:$I$22,E198))),SUMPRODUCT(--ISNUMBER(SEARCH('Scoring Prompt'!$E$23:$I$23,E198))))</f>
        <v>0</v>
      </c>
      <c r="M198" s="24">
        <f t="shared" si="67"/>
        <v>0</v>
      </c>
      <c r="N198" s="24">
        <f>INDEX('Scoring Prompt'!$B$38:$C$43,MATCH(G198,'Scoring Prompt'!$A$38:$A$43,0),MATCH(B198,'Scoring Prompt'!$B$37:$C$37,0))</f>
        <v>5</v>
      </c>
      <c r="O198" s="24">
        <f t="shared" si="68"/>
        <v>20</v>
      </c>
      <c r="P198" s="24">
        <f>'Scored Shortlist'!E198</f>
        <v>15</v>
      </c>
      <c r="Q198" s="24">
        <f>'Scored Shortlist'!F198</f>
        <v>0</v>
      </c>
      <c r="R198" s="24">
        <f>'Scored Shortlist'!G198</f>
        <v>4</v>
      </c>
      <c r="S198" s="24">
        <f>'Scored Shortlist'!H198</f>
        <v>5</v>
      </c>
      <c r="T198" s="24">
        <f>'Scored Shortlist'!I198</f>
        <v>24</v>
      </c>
      <c r="U198" s="24">
        <f>IF('Scored Shortlist'!M198="none",0,(LEN('Scored Shortlist'!M198)-LEN(SUBSTITUTE('Scored Shortlist'!M198,"&lt;-","")))/2)</f>
        <v>1</v>
      </c>
      <c r="V198" s="24">
        <f t="shared" si="69"/>
        <v>1</v>
      </c>
      <c r="W198" s="24">
        <f t="shared" si="70"/>
        <v>1</v>
      </c>
      <c r="X198" s="24">
        <f t="shared" si="71"/>
        <v>1</v>
      </c>
      <c r="Y198" s="24">
        <f t="shared" si="72"/>
        <v>4</v>
      </c>
      <c r="Z198" s="24">
        <f t="shared" si="73"/>
        <v>4</v>
      </c>
      <c r="AA198" s="24">
        <f t="shared" si="74"/>
        <v>1</v>
      </c>
      <c r="AB198" s="25" t="str">
        <f t="shared" si="75"/>
        <v>OK</v>
      </c>
      <c r="AC198" s="24" t="str">
        <f t="shared" si="76"/>
        <v>Not shortlisted</v>
      </c>
      <c r="AD198" s="24" t="str">
        <f>IF(ISNUMBER(SEARCH(" "&amp;LEFT('Scored Shortlist'!B198,FIND(" ",'Scored Shortlist'!B198)-1)&amp;" "," "&amp;'Scored Shortlist'!N198&amp;" ")),"YES","no")</f>
        <v>no</v>
      </c>
    </row>
    <row r="199" spans="1:30" x14ac:dyDescent="0.25">
      <c r="A199" s="24" t="str">
        <f>'Scored Shortlist'!A199</f>
        <v>CV023</v>
      </c>
      <c r="B199" s="24" t="str">
        <f>'Scored Shortlist'!C199</f>
        <v>JD5</v>
      </c>
      <c r="C199" s="24" t="str">
        <f>INDEX(Resumes!$D$2:$D$101,MATCH(A199,Resumes!$A$2:$A$101,0))</f>
        <v>MBA Finance</v>
      </c>
      <c r="D199" s="24">
        <f>INDEX(Resumes!$E$2:$E$101,MATCH(A199,Resumes!$A$2:$A$101,0))</f>
        <v>0.1</v>
      </c>
      <c r="E199" s="24" t="str">
        <f>INDEX(Resumes!$G$2:$G$101,MATCH(A199,Resumes!$A$2:$A$101,0))</f>
        <v>SEO, financial modelling, SQL, recruitment</v>
      </c>
      <c r="F199" s="24" t="str">
        <f>INDEX(Resumes!$I$2:$I$101,MATCH(A199,Resumes!$A$2:$A$101,0))</f>
        <v>Suresh Kaur, MBA Finance from a tier-3 institute. 0.1 years of experience, most recently at an IT services firm. Key skills: SEO, financial modelling, SQL, recruitment. Achievement: no major achievement listed. Career gap: None.</v>
      </c>
      <c r="G199" s="24" t="str">
        <f t="shared" si="66"/>
        <v>no major achievement listed</v>
      </c>
      <c r="H199" s="24">
        <f>INDEX('Scoring Prompt'!$C$22:$C$23,MATCH(B199,'Scoring Prompt'!$A$22:$A$23,0))</f>
        <v>3</v>
      </c>
      <c r="I199" s="24">
        <f>INDEX('Scoring Prompt'!$D$22:$D$23,MATCH(B199,'Scoring Prompt'!$A$22:$A$23,0))</f>
        <v>6</v>
      </c>
      <c r="J199" s="24">
        <f>INDEX('Scoring Prompt'!$B$27:$C$34,MATCH(C199,'Scoring Prompt'!$A$27:$A$34,0),MATCH(B199,'Scoring Prompt'!$B$26:$C$26,0))</f>
        <v>15</v>
      </c>
      <c r="K199" s="24">
        <f>IF(AND(D199&gt;=H199,D199&lt;=I199),'Scoring Prompt'!$B$47,IF(D199&lt;H199,IF(H199-D199&lt;=1,'Scoring Prompt'!$B$48,IF(H199-D199&lt;=2,'Scoring Prompt'!$B$49,'Scoring Prompt'!$B$50)),IF(D199-I199&lt;=2,'Scoring Prompt'!$B$51,'Scoring Prompt'!$B$52)))</f>
        <v>0</v>
      </c>
      <c r="L199" s="24">
        <f>IF(B199="JD3",SUMPRODUCT(--ISNUMBER(SEARCH('Scoring Prompt'!$E$22:$I$22,E199))),SUMPRODUCT(--ISNUMBER(SEARCH('Scoring Prompt'!$E$23:$I$23,E199))))</f>
        <v>1</v>
      </c>
      <c r="M199" s="24">
        <f t="shared" si="67"/>
        <v>8</v>
      </c>
      <c r="N199" s="24">
        <f>INDEX('Scoring Prompt'!$B$38:$C$43,MATCH(G199,'Scoring Prompt'!$A$38:$A$43,0),MATCH(B199,'Scoring Prompt'!$B$37:$C$37,0))</f>
        <v>0</v>
      </c>
      <c r="O199" s="24">
        <f t="shared" si="68"/>
        <v>23</v>
      </c>
      <c r="P199" s="24">
        <f>'Scored Shortlist'!E199</f>
        <v>15</v>
      </c>
      <c r="Q199" s="24">
        <f>'Scored Shortlist'!F199</f>
        <v>0</v>
      </c>
      <c r="R199" s="24">
        <f>'Scored Shortlist'!G199</f>
        <v>8</v>
      </c>
      <c r="S199" s="24">
        <f>'Scored Shortlist'!H199</f>
        <v>0</v>
      </c>
      <c r="T199" s="24">
        <f>'Scored Shortlist'!I199</f>
        <v>23</v>
      </c>
      <c r="U199" s="24">
        <f>IF('Scored Shortlist'!M199="none",0,(LEN('Scored Shortlist'!M199)-LEN(SUBSTITUTE('Scored Shortlist'!M199,"&lt;-","")))/2)</f>
        <v>0</v>
      </c>
      <c r="V199" s="24">
        <f t="shared" si="69"/>
        <v>1</v>
      </c>
      <c r="W199" s="24">
        <f t="shared" si="70"/>
        <v>1</v>
      </c>
      <c r="X199" s="24">
        <f t="shared" si="71"/>
        <v>1</v>
      </c>
      <c r="Y199" s="24">
        <f t="shared" si="72"/>
        <v>0</v>
      </c>
      <c r="Z199" s="24">
        <f t="shared" si="73"/>
        <v>0</v>
      </c>
      <c r="AA199" s="24">
        <f t="shared" si="74"/>
        <v>1</v>
      </c>
      <c r="AB199" s="25" t="str">
        <f t="shared" si="75"/>
        <v>OK</v>
      </c>
      <c r="AC199" s="24" t="str">
        <f t="shared" si="76"/>
        <v>Not shortlisted</v>
      </c>
      <c r="AD199" s="24" t="str">
        <f>IF(ISNUMBER(SEARCH(" "&amp;LEFT('Scored Shortlist'!B199,FIND(" ",'Scored Shortlist'!B199)-1)&amp;" "," "&amp;'Scored Shortlist'!N199&amp;" ")),"YES","no")</f>
        <v>no</v>
      </c>
    </row>
    <row r="200" spans="1:30" x14ac:dyDescent="0.25">
      <c r="A200" s="24" t="str">
        <f>'Scored Shortlist'!A200</f>
        <v>CV045</v>
      </c>
      <c r="B200" s="24" t="str">
        <f>'Scored Shortlist'!C200</f>
        <v>JD5</v>
      </c>
      <c r="C200" s="24" t="str">
        <f>INDEX(Resumes!$D$2:$D$101,MATCH(A200,Resumes!$A$2:$A$101,0))</f>
        <v>CA</v>
      </c>
      <c r="D200" s="24">
        <f>INDEX(Resumes!$E$2:$E$101,MATCH(A200,Resumes!$A$2:$A$101,0))</f>
        <v>1.7</v>
      </c>
      <c r="E200" s="24" t="str">
        <f>INDEX(Resumes!$G$2:$G$101,MATCH(A200,Resumes!$A$2:$A$101,0))</f>
        <v>SAP MM, campaign management, Python, content writing, employee relations, agile</v>
      </c>
      <c r="F200" s="24" t="str">
        <f>INDEX(Resumes!$I$2:$I$101,MATCH(A200,Resumes!$A$2:$A$101,0))</f>
        <v>Pooja Das, CA from a tier-2 institute. 1.7 years of experience, most recently at a retail chain. Key skills: SAP MM, campaign management, Python, content writing, employee relations, agile. Achievement: no major achievement listed. Career gap: 6-month gap (exam preparation).</v>
      </c>
      <c r="G200" s="24" t="str">
        <f t="shared" si="66"/>
        <v>no major achievement listed</v>
      </c>
      <c r="H200" s="24">
        <f>INDEX('Scoring Prompt'!$C$22:$C$23,MATCH(B200,'Scoring Prompt'!$A$22:$A$23,0))</f>
        <v>3</v>
      </c>
      <c r="I200" s="24">
        <f>INDEX('Scoring Prompt'!$D$22:$D$23,MATCH(B200,'Scoring Prompt'!$A$22:$A$23,0))</f>
        <v>6</v>
      </c>
      <c r="J200" s="24">
        <f>INDEX('Scoring Prompt'!$B$27:$C$34,MATCH(C200,'Scoring Prompt'!$A$27:$A$34,0),MATCH(B200,'Scoring Prompt'!$B$26:$C$26,0))</f>
        <v>5</v>
      </c>
      <c r="K200" s="24">
        <f>IF(AND(D200&gt;=H200,D200&lt;=I200),'Scoring Prompt'!$B$47,IF(D200&lt;H200,IF(H200-D200&lt;=1,'Scoring Prompt'!$B$48,IF(H200-D200&lt;=2,'Scoring Prompt'!$B$49,'Scoring Prompt'!$B$50)),IF(D200-I200&lt;=2,'Scoring Prompt'!$B$51,'Scoring Prompt'!$B$52)))</f>
        <v>8</v>
      </c>
      <c r="L200" s="24">
        <f>IF(B200="JD3",SUMPRODUCT(--ISNUMBER(SEARCH('Scoring Prompt'!$E$22:$I$22,E200))),SUMPRODUCT(--ISNUMBER(SEARCH('Scoring Prompt'!$E$23:$I$23,E200))))</f>
        <v>1</v>
      </c>
      <c r="M200" s="24">
        <f t="shared" si="67"/>
        <v>8</v>
      </c>
      <c r="N200" s="24">
        <f>INDEX('Scoring Prompt'!$B$38:$C$43,MATCH(G200,'Scoring Prompt'!$A$38:$A$43,0),MATCH(B200,'Scoring Prompt'!$B$37:$C$37,0))</f>
        <v>0</v>
      </c>
      <c r="O200" s="24">
        <f t="shared" si="68"/>
        <v>21</v>
      </c>
      <c r="P200" s="24">
        <f>'Scored Shortlist'!E200</f>
        <v>5</v>
      </c>
      <c r="Q200" s="24">
        <f>'Scored Shortlist'!F200</f>
        <v>8</v>
      </c>
      <c r="R200" s="24">
        <f>'Scored Shortlist'!G200</f>
        <v>8</v>
      </c>
      <c r="S200" s="24">
        <f>'Scored Shortlist'!H200</f>
        <v>0</v>
      </c>
      <c r="T200" s="24">
        <f>'Scored Shortlist'!I200</f>
        <v>21</v>
      </c>
      <c r="U200" s="24">
        <f>IF('Scored Shortlist'!M200="none",0,(LEN('Scored Shortlist'!M200)-LEN(SUBSTITUTE('Scored Shortlist'!M200,"&lt;-","")))/2)</f>
        <v>0</v>
      </c>
      <c r="V200" s="24">
        <f t="shared" si="69"/>
        <v>1</v>
      </c>
      <c r="W200" s="24">
        <f t="shared" si="70"/>
        <v>1</v>
      </c>
      <c r="X200" s="24">
        <f t="shared" si="71"/>
        <v>1</v>
      </c>
      <c r="Y200" s="24">
        <f t="shared" si="72"/>
        <v>0</v>
      </c>
      <c r="Z200" s="24">
        <f t="shared" si="73"/>
        <v>0</v>
      </c>
      <c r="AA200" s="24">
        <f t="shared" si="74"/>
        <v>1</v>
      </c>
      <c r="AB200" s="25" t="str">
        <f t="shared" si="75"/>
        <v>OK</v>
      </c>
      <c r="AC200" s="24" t="str">
        <f t="shared" si="76"/>
        <v>Not shortlisted</v>
      </c>
      <c r="AD200" s="24" t="str">
        <f>IF(ISNUMBER(SEARCH(" "&amp;LEFT('Scored Shortlist'!B200,FIND(" ",'Scored Shortlist'!B200)-1)&amp;" "," "&amp;'Scored Shortlist'!N200&amp;" ")),"YES","no")</f>
        <v>no</v>
      </c>
    </row>
    <row r="201" spans="1:30" x14ac:dyDescent="0.25">
      <c r="A201" s="24" t="str">
        <f>'Scored Shortlist'!A201</f>
        <v>CV021</v>
      </c>
      <c r="B201" s="24" t="str">
        <f>'Scored Shortlist'!C201</f>
        <v>JD5</v>
      </c>
      <c r="C201" s="24" t="str">
        <f>INDEX(Resumes!$D$2:$D$101,MATCH(A201,Resumes!$A$2:$A$101,0))</f>
        <v>MBA Finance</v>
      </c>
      <c r="D201" s="24">
        <f>INDEX(Resumes!$E$2:$E$101,MATCH(A201,Resumes!$A$2:$A$101,0))</f>
        <v>0.7</v>
      </c>
      <c r="E201" s="24" t="str">
        <f>INDEX(Resumes!$G$2:$G$101,MATCH(A201,Resumes!$A$2:$A$101,0))</f>
        <v>Power BI, negotiation, vendor management, Python, inventory planning</v>
      </c>
      <c r="F201" s="24" t="str">
        <f>INDEX(Resumes!$I$2:$I$101,MATCH(A201,Resumes!$A$2:$A$101,0))</f>
        <v>Meera Shinde, MBA Finance from a tier-1 institute. 0.7 years of experience, most recently at a consulting firm. Key skills: Power BI, negotiation, vendor management, Python, inventory planning. Achievement: handled 120 hires in one year. Career gap: None.</v>
      </c>
      <c r="G201" s="24" t="str">
        <f t="shared" si="66"/>
        <v>handled 120 hires in one year</v>
      </c>
      <c r="H201" s="24">
        <f>INDEX('Scoring Prompt'!$C$22:$C$23,MATCH(B201,'Scoring Prompt'!$A$22:$A$23,0))</f>
        <v>3</v>
      </c>
      <c r="I201" s="24">
        <f>INDEX('Scoring Prompt'!$D$22:$D$23,MATCH(B201,'Scoring Prompt'!$A$22:$A$23,0))</f>
        <v>6</v>
      </c>
      <c r="J201" s="24">
        <f>INDEX('Scoring Prompt'!$B$27:$C$34,MATCH(C201,'Scoring Prompt'!$A$27:$A$34,0),MATCH(B201,'Scoring Prompt'!$B$26:$C$26,0))</f>
        <v>15</v>
      </c>
      <c r="K201" s="24">
        <f>IF(AND(D201&gt;=H201,D201&lt;=I201),'Scoring Prompt'!$B$47,IF(D201&lt;H201,IF(H201-D201&lt;=1,'Scoring Prompt'!$B$48,IF(H201-D201&lt;=2,'Scoring Prompt'!$B$49,'Scoring Prompt'!$B$50)),IF(D201-I201&lt;=2,'Scoring Prompt'!$B$51,'Scoring Prompt'!$B$52)))</f>
        <v>0</v>
      </c>
      <c r="L201" s="24">
        <f>IF(B201="JD3",SUMPRODUCT(--ISNUMBER(SEARCH('Scoring Prompt'!$E$22:$I$22,E201))),SUMPRODUCT(--ISNUMBER(SEARCH('Scoring Prompt'!$E$23:$I$23,E201))))</f>
        <v>0</v>
      </c>
      <c r="M201" s="24">
        <f t="shared" si="67"/>
        <v>0</v>
      </c>
      <c r="N201" s="24">
        <f>INDEX('Scoring Prompt'!$B$38:$C$43,MATCH(G201,'Scoring Prompt'!$A$38:$A$43,0),MATCH(B201,'Scoring Prompt'!$B$37:$C$37,0))</f>
        <v>3</v>
      </c>
      <c r="O201" s="24">
        <f t="shared" si="68"/>
        <v>18</v>
      </c>
      <c r="P201" s="24">
        <f>'Scored Shortlist'!E201</f>
        <v>15</v>
      </c>
      <c r="Q201" s="24">
        <f>'Scored Shortlist'!F201</f>
        <v>0</v>
      </c>
      <c r="R201" s="24">
        <f>'Scored Shortlist'!G201</f>
        <v>0</v>
      </c>
      <c r="S201" s="24">
        <f>'Scored Shortlist'!H201</f>
        <v>3</v>
      </c>
      <c r="T201" s="24">
        <f>'Scored Shortlist'!I201</f>
        <v>18</v>
      </c>
      <c r="U201" s="24">
        <f>IF('Scored Shortlist'!M201="none",0,(LEN('Scored Shortlist'!M201)-LEN(SUBSTITUTE('Scored Shortlist'!M201,"&lt;-","")))/2)</f>
        <v>0</v>
      </c>
      <c r="V201" s="24">
        <f t="shared" si="69"/>
        <v>1</v>
      </c>
      <c r="W201" s="24">
        <f t="shared" si="70"/>
        <v>1</v>
      </c>
      <c r="X201" s="24">
        <f t="shared" si="71"/>
        <v>1</v>
      </c>
      <c r="Y201" s="24">
        <f t="shared" si="72"/>
        <v>0</v>
      </c>
      <c r="Z201" s="24">
        <f t="shared" si="73"/>
        <v>0</v>
      </c>
      <c r="AA201" s="24">
        <f t="shared" si="74"/>
        <v>1</v>
      </c>
      <c r="AB201" s="25" t="str">
        <f t="shared" si="75"/>
        <v>OK</v>
      </c>
      <c r="AC201" s="24" t="str">
        <f t="shared" si="76"/>
        <v>Not shortlisted</v>
      </c>
      <c r="AD201" s="24" t="str">
        <f>IF(ISNUMBER(SEARCH(" "&amp;LEFT('Scored Shortlist'!B201,FIND(" ",'Scored Shortlist'!B201)-1)&amp;" "," "&amp;'Scored Shortlist'!N201&amp;" ")),"YES","no")</f>
        <v>no</v>
      </c>
    </row>
    <row r="202" spans="1:30" x14ac:dyDescent="0.25">
      <c r="A202" s="24" t="str">
        <f>'Scored Shortlist'!A202</f>
        <v>CV071</v>
      </c>
      <c r="B202" s="24" t="str">
        <f>'Scored Shortlist'!C202</f>
        <v>JD5</v>
      </c>
      <c r="C202" s="24" t="str">
        <f>INDEX(Resumes!$D$2:$D$101,MATCH(A202,Resumes!$A$2:$A$101,0))</f>
        <v>B.Com</v>
      </c>
      <c r="D202" s="24">
        <f>INDEX(Resumes!$E$2:$E$101,MATCH(A202,Resumes!$A$2:$A$101,0))</f>
        <v>8.5</v>
      </c>
      <c r="E202" s="24" t="str">
        <f>INDEX(Resumes!$G$2:$G$101,MATCH(A202,Resumes!$A$2:$A$101,0))</f>
        <v>stakeholder management, Python, Power BI, HR analytics, employee relations, campaign management, Excel</v>
      </c>
      <c r="F202" s="24" t="str">
        <f>INDEX(Resumes!$I$2:$I$101,MATCH(A202,Resumes!$A$2:$A$101,0))</f>
        <v>Thomas Joshi, B.Com from a tier-3 institute. 8.5 years of experience, most recently at an FMCG distributor. Key skills: stakeholder management, Python, Power BI, HR analytics, employee relations, campaign management, Excel. Achievement: no major achievement listed. Career gap: None.</v>
      </c>
      <c r="G202" s="24" t="str">
        <f t="shared" si="66"/>
        <v>no major achievement listed</v>
      </c>
      <c r="H202" s="24">
        <f>INDEX('Scoring Prompt'!$C$22:$C$23,MATCH(B202,'Scoring Prompt'!$A$22:$A$23,0))</f>
        <v>3</v>
      </c>
      <c r="I202" s="24">
        <f>INDEX('Scoring Prompt'!$D$22:$D$23,MATCH(B202,'Scoring Prompt'!$A$22:$A$23,0))</f>
        <v>6</v>
      </c>
      <c r="J202" s="24">
        <f>INDEX('Scoring Prompt'!$B$27:$C$34,MATCH(C202,'Scoring Prompt'!$A$27:$A$34,0),MATCH(B202,'Scoring Prompt'!$B$26:$C$26,0))</f>
        <v>5</v>
      </c>
      <c r="K202" s="24">
        <f>IF(AND(D202&gt;=H202,D202&lt;=I202),'Scoring Prompt'!$B$47,IF(D202&lt;H202,IF(H202-D202&lt;=1,'Scoring Prompt'!$B$48,IF(H202-D202&lt;=2,'Scoring Prompt'!$B$49,'Scoring Prompt'!$B$50)),IF(D202-I202&lt;=2,'Scoring Prompt'!$B$51,'Scoring Prompt'!$B$52)))</f>
        <v>12</v>
      </c>
      <c r="L202" s="24">
        <f>IF(B202="JD3",SUMPRODUCT(--ISNUMBER(SEARCH('Scoring Prompt'!$E$22:$I$22,E202))),SUMPRODUCT(--ISNUMBER(SEARCH('Scoring Prompt'!$E$23:$I$23,E202))))</f>
        <v>0</v>
      </c>
      <c r="M202" s="24">
        <f t="shared" si="67"/>
        <v>0</v>
      </c>
      <c r="N202" s="24">
        <f>INDEX('Scoring Prompt'!$B$38:$C$43,MATCH(G202,'Scoring Prompt'!$A$38:$A$43,0),MATCH(B202,'Scoring Prompt'!$B$37:$C$37,0))</f>
        <v>0</v>
      </c>
      <c r="O202" s="24">
        <f t="shared" si="68"/>
        <v>17</v>
      </c>
      <c r="P202" s="24">
        <f>'Scored Shortlist'!E202</f>
        <v>5</v>
      </c>
      <c r="Q202" s="24">
        <f>'Scored Shortlist'!F202</f>
        <v>12</v>
      </c>
      <c r="R202" s="24">
        <f>'Scored Shortlist'!G202</f>
        <v>0</v>
      </c>
      <c r="S202" s="24">
        <f>'Scored Shortlist'!H202</f>
        <v>0</v>
      </c>
      <c r="T202" s="24">
        <f>'Scored Shortlist'!I202</f>
        <v>17</v>
      </c>
      <c r="U202" s="24">
        <f>IF('Scored Shortlist'!M202="none",0,(LEN('Scored Shortlist'!M202)-LEN(SUBSTITUTE('Scored Shortlist'!M202,"&lt;-","")))/2)</f>
        <v>0</v>
      </c>
      <c r="V202" s="24">
        <f t="shared" si="69"/>
        <v>1</v>
      </c>
      <c r="W202" s="24">
        <f t="shared" si="70"/>
        <v>1</v>
      </c>
      <c r="X202" s="24">
        <f t="shared" si="71"/>
        <v>1</v>
      </c>
      <c r="Y202" s="24">
        <f t="shared" si="72"/>
        <v>0</v>
      </c>
      <c r="Z202" s="24">
        <f t="shared" si="73"/>
        <v>0</v>
      </c>
      <c r="AA202" s="24">
        <f t="shared" si="74"/>
        <v>1</v>
      </c>
      <c r="AB202" s="25" t="str">
        <f t="shared" si="75"/>
        <v>OK</v>
      </c>
      <c r="AC202" s="24" t="str">
        <f t="shared" si="76"/>
        <v>Not shortlisted</v>
      </c>
      <c r="AD202" s="24" t="str">
        <f>IF(ISNUMBER(SEARCH(" "&amp;LEFT('Scored Shortlist'!B202,FIND(" ",'Scored Shortlist'!B202)-1)&amp;" "," "&amp;'Scored Shortlist'!N202&amp;" ")),"YES","no")</f>
        <v>no</v>
      </c>
    </row>
    <row r="203" spans="1:30" x14ac:dyDescent="0.25">
      <c r="A203" s="24" t="str">
        <f>'Scored Shortlist'!A203</f>
        <v>CV078</v>
      </c>
      <c r="B203" s="24" t="str">
        <f>'Scored Shortlist'!C203</f>
        <v>JD5</v>
      </c>
      <c r="C203" s="24" t="str">
        <f>INDEX(Resumes!$D$2:$D$101,MATCH(A203,Resumes!$A$2:$A$101,0))</f>
        <v>BBA</v>
      </c>
      <c r="D203" s="24">
        <f>INDEX(Resumes!$E$2:$E$101,MATCH(A203,Resumes!$A$2:$A$101,0))</f>
        <v>0.4</v>
      </c>
      <c r="E203" s="24" t="str">
        <f>INDEX(Resumes!$G$2:$G$101,MATCH(A203,Resumes!$A$2:$A$101,0))</f>
        <v>demand forecasting, financial modelling, content writing, vendor management, negotiation, public speaking, recruitment</v>
      </c>
      <c r="F203" s="24" t="str">
        <f>INDEX(Resumes!$I$2:$I$101,MATCH(A203,Resumes!$A$2:$A$101,0))</f>
        <v>Deepak Rao, BBA from a tier-2 institute. 0.4 years of experience, most recently at an IT services firm. Key skills: demand forecasting, financial modelling, content writing, vendor management, negotiation, public speaking, recruitment. Achievement: improved vendor on-time delivery from 78% to 92%. Career gap: 1-year career break (family).</v>
      </c>
      <c r="G203" s="24" t="str">
        <f t="shared" si="66"/>
        <v>improved vendor on-time delivery from 78% to 92%</v>
      </c>
      <c r="H203" s="24">
        <f>INDEX('Scoring Prompt'!$C$22:$C$23,MATCH(B203,'Scoring Prompt'!$A$22:$A$23,0))</f>
        <v>3</v>
      </c>
      <c r="I203" s="24">
        <f>INDEX('Scoring Prompt'!$D$22:$D$23,MATCH(B203,'Scoring Prompt'!$A$22:$A$23,0))</f>
        <v>6</v>
      </c>
      <c r="J203" s="24">
        <f>INDEX('Scoring Prompt'!$B$27:$C$34,MATCH(C203,'Scoring Prompt'!$A$27:$A$34,0),MATCH(B203,'Scoring Prompt'!$B$26:$C$26,0))</f>
        <v>5</v>
      </c>
      <c r="K203" s="24">
        <f>IF(AND(D203&gt;=H203,D203&lt;=I203),'Scoring Prompt'!$B$47,IF(D203&lt;H203,IF(H203-D203&lt;=1,'Scoring Prompt'!$B$48,IF(H203-D203&lt;=2,'Scoring Prompt'!$B$49,'Scoring Prompt'!$B$50)),IF(D203-I203&lt;=2,'Scoring Prompt'!$B$51,'Scoring Prompt'!$B$52)))</f>
        <v>0</v>
      </c>
      <c r="L203" s="24">
        <f>IF(B203="JD3",SUMPRODUCT(--ISNUMBER(SEARCH('Scoring Prompt'!$E$22:$I$22,E203))),SUMPRODUCT(--ISNUMBER(SEARCH('Scoring Prompt'!$E$23:$I$23,E203))))</f>
        <v>0</v>
      </c>
      <c r="M203" s="24">
        <f t="shared" si="67"/>
        <v>0</v>
      </c>
      <c r="N203" s="24">
        <f>INDEX('Scoring Prompt'!$B$38:$C$43,MATCH(G203,'Scoring Prompt'!$A$38:$A$43,0),MATCH(B203,'Scoring Prompt'!$B$37:$C$37,0))</f>
        <v>4</v>
      </c>
      <c r="O203" s="24">
        <f t="shared" si="68"/>
        <v>9</v>
      </c>
      <c r="P203" s="24">
        <f>'Scored Shortlist'!E203</f>
        <v>5</v>
      </c>
      <c r="Q203" s="24">
        <f>'Scored Shortlist'!F203</f>
        <v>0</v>
      </c>
      <c r="R203" s="24">
        <f>'Scored Shortlist'!G203</f>
        <v>0</v>
      </c>
      <c r="S203" s="24">
        <f>'Scored Shortlist'!H203</f>
        <v>4</v>
      </c>
      <c r="T203" s="24">
        <f>'Scored Shortlist'!I203</f>
        <v>9</v>
      </c>
      <c r="U203" s="24">
        <f>IF('Scored Shortlist'!M203="none",0,(LEN('Scored Shortlist'!M203)-LEN(SUBSTITUTE('Scored Shortlist'!M203,"&lt;-","")))/2)</f>
        <v>0</v>
      </c>
      <c r="V203" s="24">
        <f t="shared" si="69"/>
        <v>1</v>
      </c>
      <c r="W203" s="24">
        <f t="shared" si="70"/>
        <v>1</v>
      </c>
      <c r="X203" s="24">
        <f t="shared" si="71"/>
        <v>1</v>
      </c>
      <c r="Y203" s="24">
        <f t="shared" si="72"/>
        <v>0</v>
      </c>
      <c r="Z203" s="24">
        <f t="shared" si="73"/>
        <v>0</v>
      </c>
      <c r="AA203" s="24">
        <f t="shared" si="74"/>
        <v>1</v>
      </c>
      <c r="AB203" s="25" t="str">
        <f t="shared" si="75"/>
        <v>OK</v>
      </c>
      <c r="AC203" s="24" t="str">
        <f t="shared" si="76"/>
        <v>Not shortlisted</v>
      </c>
      <c r="AD203" s="24" t="str">
        <f>IF(ISNUMBER(SEARCH(" "&amp;LEFT('Scored Shortlist'!B203,FIND(" ",'Scored Shortlist'!B203)-1)&amp;" "," "&amp;'Scored Shortlist'!N203&amp;" ")),"YES","no")</f>
        <v>no</v>
      </c>
    </row>
  </sheetData>
  <autoFilter ref="A3:AD203" xr:uid="{00000000-0009-0000-0000-000005000000}"/>
  <conditionalFormatting sqref="AB4:AB203">
    <cfRule type="expression" dxfId="0" priority="2">
      <formula>AB4="CHECK"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"/>
  <sheetViews>
    <sheetView zoomScaleNormal="100" workbookViewId="0"/>
  </sheetViews>
  <sheetFormatPr defaultColWidth="8.6328125" defaultRowHeight="12.9" x14ac:dyDescent="0.25"/>
  <cols>
    <col min="1" max="1" width="6" customWidth="1"/>
    <col min="2" max="2" width="54" customWidth="1"/>
    <col min="3" max="4" width="14" customWidth="1"/>
    <col min="5" max="5" width="40" customWidth="1"/>
    <col min="6" max="6" width="36" customWidth="1"/>
  </cols>
  <sheetData>
    <row r="1" spans="1:5" ht="17.75" x14ac:dyDescent="0.35">
      <c r="A1" s="4" t="s">
        <v>702</v>
      </c>
    </row>
    <row r="2" spans="1:5" ht="13.45" x14ac:dyDescent="0.3">
      <c r="A2" s="12" t="s">
        <v>703</v>
      </c>
    </row>
    <row r="4" spans="1:5" ht="14" x14ac:dyDescent="0.3">
      <c r="A4" s="18" t="s">
        <v>704</v>
      </c>
    </row>
    <row r="5" spans="1:5" x14ac:dyDescent="0.25">
      <c r="A5" s="13" t="s">
        <v>705</v>
      </c>
      <c r="B5" s="13" t="s">
        <v>706</v>
      </c>
      <c r="C5" s="13" t="s">
        <v>707</v>
      </c>
      <c r="D5" s="13" t="s">
        <v>708</v>
      </c>
      <c r="E5" s="13" t="s">
        <v>709</v>
      </c>
    </row>
    <row r="6" spans="1:5" x14ac:dyDescent="0.25">
      <c r="A6" s="19">
        <v>1</v>
      </c>
      <c r="B6" s="19" t="s">
        <v>710</v>
      </c>
      <c r="C6" s="26">
        <f>COUNTA(Resumes!A2:A101)</f>
        <v>100</v>
      </c>
      <c r="D6" s="15">
        <v>100</v>
      </c>
      <c r="E6" s="19"/>
    </row>
    <row r="7" spans="1:5" x14ac:dyDescent="0.25">
      <c r="A7" s="19">
        <v>2</v>
      </c>
      <c r="B7" s="19" t="s">
        <v>711</v>
      </c>
      <c r="C7" s="26">
        <f>SUMPRODUCT(1/COUNTIF(Resumes!A2:A101,Resumes!A2:A101))</f>
        <v>100</v>
      </c>
      <c r="D7" s="15">
        <v>100</v>
      </c>
      <c r="E7" s="19" t="s">
        <v>712</v>
      </c>
    </row>
    <row r="8" spans="1:5" ht="25.8" x14ac:dyDescent="0.25">
      <c r="A8" s="19">
        <v>3</v>
      </c>
      <c r="B8" s="19" t="s">
        <v>713</v>
      </c>
      <c r="C8" s="26">
        <f>SUMPRODUCT(1/COUNTIF(Resumes!B2:B101,Resumes!B2:B101))</f>
        <v>95</v>
      </c>
      <c r="D8" s="15">
        <v>95</v>
      </c>
      <c r="E8" s="19" t="s">
        <v>714</v>
      </c>
    </row>
    <row r="9" spans="1:5" ht="25.8" x14ac:dyDescent="0.25">
      <c r="A9" s="19">
        <v>4</v>
      </c>
      <c r="B9" s="19" t="s">
        <v>715</v>
      </c>
      <c r="C9" s="26">
        <f>COUNTIF(Resumes!H2:H101,"None")</f>
        <v>67</v>
      </c>
      <c r="D9" s="15">
        <v>67</v>
      </c>
      <c r="E9" s="19" t="s">
        <v>716</v>
      </c>
    </row>
    <row r="10" spans="1:5" x14ac:dyDescent="0.25">
      <c r="A10" s="19">
        <v>5</v>
      </c>
      <c r="B10" s="19" t="s">
        <v>717</v>
      </c>
      <c r="C10" s="26">
        <f>COUNTA('Scored Shortlist'!A4:A203)</f>
        <v>200</v>
      </c>
      <c r="D10" s="15">
        <v>200</v>
      </c>
      <c r="E10" s="19" t="s">
        <v>718</v>
      </c>
    </row>
    <row r="11" spans="1:5" x14ac:dyDescent="0.25">
      <c r="A11" s="19">
        <v>6</v>
      </c>
      <c r="B11" s="19" t="s">
        <v>719</v>
      </c>
      <c r="C11" s="26">
        <f>COUNTIF('Scored Shortlist'!C4:C203,"JD3")</f>
        <v>100</v>
      </c>
      <c r="D11" s="15">
        <v>100</v>
      </c>
      <c r="E11" s="19"/>
    </row>
    <row r="12" spans="1:5" x14ac:dyDescent="0.25">
      <c r="A12" s="19">
        <v>7</v>
      </c>
      <c r="B12" s="19" t="s">
        <v>720</v>
      </c>
      <c r="C12" s="26">
        <f>COUNTIF('Scored Shortlist'!C4:C203,"JD5")</f>
        <v>100</v>
      </c>
      <c r="D12" s="15">
        <v>100</v>
      </c>
      <c r="E12" s="19"/>
    </row>
    <row r="13" spans="1:5" x14ac:dyDescent="0.25">
      <c r="A13" s="19">
        <v>8</v>
      </c>
      <c r="B13" s="19" t="s">
        <v>721</v>
      </c>
      <c r="C13" s="26">
        <f>SUMPRODUCT(1/COUNTIF('Scored Shortlist'!P4:P203,'Scored Shortlist'!P4:P203))</f>
        <v>200</v>
      </c>
      <c r="D13" s="15">
        <v>200</v>
      </c>
      <c r="E13" s="19" t="s">
        <v>722</v>
      </c>
    </row>
    <row r="14" spans="1:5" ht="25.8" x14ac:dyDescent="0.25">
      <c r="A14" s="19">
        <v>9</v>
      </c>
      <c r="B14" s="19" t="s">
        <v>723</v>
      </c>
      <c r="C14" s="26">
        <f>COUNTIF(Resumes!G2:G101,"*variance analysis*")</f>
        <v>0</v>
      </c>
      <c r="D14" s="15">
        <v>0</v>
      </c>
      <c r="E14" s="19" t="s">
        <v>724</v>
      </c>
    </row>
    <row r="16" spans="1:5" ht="14" x14ac:dyDescent="0.3">
      <c r="A16" s="18" t="s">
        <v>725</v>
      </c>
    </row>
    <row r="17" spans="1:5" x14ac:dyDescent="0.25">
      <c r="A17" s="13" t="s">
        <v>705</v>
      </c>
      <c r="B17" s="13" t="s">
        <v>706</v>
      </c>
      <c r="C17" s="13" t="s">
        <v>707</v>
      </c>
      <c r="D17" s="13" t="s">
        <v>726</v>
      </c>
      <c r="E17" s="13" t="s">
        <v>709</v>
      </c>
    </row>
    <row r="18" spans="1:5" x14ac:dyDescent="0.25">
      <c r="A18" s="19">
        <v>1</v>
      </c>
      <c r="B18" s="19" t="s">
        <v>727</v>
      </c>
      <c r="C18" s="26">
        <f>SUM('Rule Check'!$V$4:$V$203)</f>
        <v>200</v>
      </c>
      <c r="D18" s="15">
        <v>200</v>
      </c>
      <c r="E18" s="19"/>
    </row>
    <row r="19" spans="1:5" x14ac:dyDescent="0.25">
      <c r="A19" s="19">
        <v>2</v>
      </c>
      <c r="B19" s="19" t="s">
        <v>728</v>
      </c>
      <c r="C19" s="26">
        <f>SUM('Rule Check'!$W$4:$W$203)</f>
        <v>200</v>
      </c>
      <c r="D19" s="15">
        <v>200</v>
      </c>
      <c r="E19" s="19"/>
    </row>
    <row r="20" spans="1:5" x14ac:dyDescent="0.25">
      <c r="A20" s="19">
        <v>3</v>
      </c>
      <c r="B20" s="19" t="s">
        <v>729</v>
      </c>
      <c r="C20" s="26">
        <f>SUM('Rule Check'!$X$4:$X$203)</f>
        <v>200</v>
      </c>
      <c r="D20" s="15">
        <v>200</v>
      </c>
      <c r="E20" s="19"/>
    </row>
    <row r="21" spans="1:5" x14ac:dyDescent="0.25">
      <c r="A21" s="19">
        <v>4</v>
      </c>
      <c r="B21" s="19" t="s">
        <v>730</v>
      </c>
      <c r="C21" s="26">
        <f>SUM('Rule Check'!$AA$4:$AA$203)</f>
        <v>200</v>
      </c>
      <c r="D21" s="15">
        <v>200</v>
      </c>
      <c r="E21" s="19"/>
    </row>
    <row r="22" spans="1:5" x14ac:dyDescent="0.25">
      <c r="A22" s="19">
        <v>5</v>
      </c>
      <c r="B22" s="19" t="s">
        <v>731</v>
      </c>
      <c r="C22" s="26">
        <f>COUNTIF('Rule Check'!$AB$4:$AB$203,"OK")</f>
        <v>200</v>
      </c>
      <c r="D22" s="15">
        <v>200</v>
      </c>
      <c r="E22" s="19" t="s">
        <v>732</v>
      </c>
    </row>
    <row r="23" spans="1:5" ht="25.8" x14ac:dyDescent="0.25">
      <c r="A23" s="19">
        <v>6</v>
      </c>
      <c r="B23" s="19" t="s">
        <v>733</v>
      </c>
      <c r="C23" s="26">
        <f>COUNTIF('Rule Check'!$U$4:$U$203,"&gt;0")</f>
        <v>77</v>
      </c>
      <c r="D23" s="15">
        <v>200</v>
      </c>
      <c r="E23" s="19" t="s">
        <v>734</v>
      </c>
    </row>
    <row r="24" spans="1:5" x14ac:dyDescent="0.25">
      <c r="A24" s="19">
        <v>7</v>
      </c>
      <c r="B24" s="19" t="s">
        <v>735</v>
      </c>
      <c r="C24" s="26">
        <f>SUMPRODUCT(--('Rule Check'!$AC$4:$AC$203&lt;&gt;'Scored Shortlist'!$J$4:$J$203))</f>
        <v>12</v>
      </c>
      <c r="D24" s="15">
        <v>200</v>
      </c>
      <c r="E24" s="19" t="s">
        <v>736</v>
      </c>
    </row>
    <row r="25" spans="1:5" x14ac:dyDescent="0.25">
      <c r="A25" s="19">
        <v>8</v>
      </c>
      <c r="B25" s="19" t="s">
        <v>737</v>
      </c>
      <c r="C25" s="26">
        <f>COUNTIFS('Scored Shortlist'!I4:I203,"&gt;=0",'Scored Shortlist'!I4:I203,"&lt;=100")</f>
        <v>200</v>
      </c>
      <c r="D25" s="15">
        <v>200</v>
      </c>
      <c r="E25" s="19"/>
    </row>
    <row r="26" spans="1:5" x14ac:dyDescent="0.25">
      <c r="B26" s="14" t="s">
        <v>738</v>
      </c>
      <c r="C26" s="27">
        <f>C22/D22</f>
        <v>1</v>
      </c>
    </row>
    <row r="28" spans="1:5" ht="14" x14ac:dyDescent="0.3">
      <c r="A28" s="18" t="s">
        <v>739</v>
      </c>
    </row>
    <row r="29" spans="1:5" x14ac:dyDescent="0.25">
      <c r="A29" s="13" t="s">
        <v>705</v>
      </c>
      <c r="B29" s="13" t="s">
        <v>740</v>
      </c>
      <c r="C29" s="13" t="s">
        <v>741</v>
      </c>
      <c r="D29" s="13" t="s">
        <v>708</v>
      </c>
      <c r="E29" s="13" t="s">
        <v>709</v>
      </c>
    </row>
    <row r="30" spans="1:5" x14ac:dyDescent="0.25">
      <c r="A30" s="19">
        <v>1</v>
      </c>
      <c r="B30" s="19" t="s">
        <v>742</v>
      </c>
      <c r="C30" s="16">
        <f>COUNTIF('Scored Shortlist'!$N$4:$O$203,"*tier*")</f>
        <v>0</v>
      </c>
      <c r="D30" s="15">
        <v>0</v>
      </c>
    </row>
    <row r="31" spans="1:5" x14ac:dyDescent="0.25">
      <c r="A31" s="19">
        <v>2</v>
      </c>
      <c r="B31" s="19" t="s">
        <v>743</v>
      </c>
      <c r="C31" s="16">
        <f>COUNTIF('Scored Shortlist'!$N$4:$O$203,"*institute*")</f>
        <v>0</v>
      </c>
      <c r="D31" s="15">
        <v>0</v>
      </c>
    </row>
    <row r="32" spans="1:5" x14ac:dyDescent="0.25">
      <c r="A32" s="19">
        <v>3</v>
      </c>
      <c r="B32" s="19" t="s">
        <v>744</v>
      </c>
      <c r="C32" s="16">
        <f>COUNTIF('Scored Shortlist'!$N$4:$O$203,"*career*")</f>
        <v>0</v>
      </c>
      <c r="D32" s="15">
        <v>0</v>
      </c>
    </row>
    <row r="33" spans="1:6" x14ac:dyDescent="0.25">
      <c r="A33" s="19">
        <v>4</v>
      </c>
      <c r="B33" s="19" t="s">
        <v>745</v>
      </c>
      <c r="C33" s="16">
        <f>COUNTIF('Scored Shortlist'!$N$4:$O$203,"*male*")</f>
        <v>0</v>
      </c>
      <c r="D33" s="15">
        <v>0</v>
      </c>
    </row>
    <row r="34" spans="1:6" x14ac:dyDescent="0.25">
      <c r="A34" s="19">
        <v>5</v>
      </c>
      <c r="B34" s="19" t="s">
        <v>746</v>
      </c>
      <c r="C34" s="16">
        <f>COUNTIF('Scored Shortlist'!$N$4:$O$203,"*family*")</f>
        <v>0</v>
      </c>
      <c r="D34" s="15">
        <v>0</v>
      </c>
    </row>
    <row r="35" spans="1:6" x14ac:dyDescent="0.25">
      <c r="A35" s="19">
        <v>6</v>
      </c>
      <c r="B35" s="19" t="s">
        <v>747</v>
      </c>
      <c r="C35" s="16">
        <f>COUNTIF('Rule Check'!$AD$4:$AD$203,"YES")</f>
        <v>0</v>
      </c>
      <c r="D35" s="15">
        <v>0</v>
      </c>
    </row>
    <row r="37" spans="1:6" ht="14" x14ac:dyDescent="0.3">
      <c r="A37" s="18" t="s">
        <v>748</v>
      </c>
    </row>
    <row r="38" spans="1:6" ht="25.8" x14ac:dyDescent="0.25">
      <c r="A38" s="13" t="s">
        <v>705</v>
      </c>
      <c r="B38" s="13" t="s">
        <v>749</v>
      </c>
      <c r="C38" s="13" t="s">
        <v>691</v>
      </c>
      <c r="D38" s="13" t="s">
        <v>750</v>
      </c>
      <c r="E38" s="13" t="s">
        <v>751</v>
      </c>
      <c r="F38" s="13" t="s">
        <v>752</v>
      </c>
    </row>
    <row r="39" spans="1:6" ht="25.8" x14ac:dyDescent="0.25">
      <c r="A39" s="19">
        <v>1</v>
      </c>
      <c r="B39" s="19" t="s">
        <v>753</v>
      </c>
      <c r="C39" s="15">
        <f>INDEX('Scored Shortlist'!$I$4:$I$203,MATCH("CV051|JD3",'Scored Shortlist'!$P$4:$P$203,0))</f>
        <v>73</v>
      </c>
      <c r="D39" s="20" t="s">
        <v>754</v>
      </c>
      <c r="E39" s="19" t="s">
        <v>755</v>
      </c>
      <c r="F39" s="19"/>
    </row>
    <row r="40" spans="1:6" x14ac:dyDescent="0.25">
      <c r="A40" s="19">
        <v>2</v>
      </c>
      <c r="B40" s="19" t="s">
        <v>756</v>
      </c>
      <c r="C40" s="15">
        <f>INDEX('Scored Shortlist'!$I$4:$I$203,MATCH("CV055|JD3",'Scored Shortlist'!$P$4:$P$203,0))</f>
        <v>67</v>
      </c>
      <c r="D40" s="20" t="s">
        <v>754</v>
      </c>
      <c r="E40" s="19" t="s">
        <v>757</v>
      </c>
      <c r="F40" s="19"/>
    </row>
    <row r="41" spans="1:6" ht="25.8" x14ac:dyDescent="0.25">
      <c r="A41" s="19">
        <v>3</v>
      </c>
      <c r="B41" s="19" t="s">
        <v>758</v>
      </c>
      <c r="C41" s="15">
        <f>INDEX('Scored Shortlist'!$I$4:$I$203,MATCH("CV040|JD3",'Scored Shortlist'!$P$4:$P$203,0))</f>
        <v>63</v>
      </c>
      <c r="D41" s="20" t="s">
        <v>754</v>
      </c>
      <c r="E41" s="19" t="s">
        <v>759</v>
      </c>
      <c r="F41" s="19" t="s">
        <v>760</v>
      </c>
    </row>
    <row r="42" spans="1:6" ht="25.8" x14ac:dyDescent="0.25">
      <c r="A42" s="19">
        <v>4</v>
      </c>
      <c r="B42" s="19" t="s">
        <v>761</v>
      </c>
      <c r="C42" s="15">
        <f>INDEX('Scored Shortlist'!$I$4:$I$203,MATCH("CV044|JD3",'Scored Shortlist'!$P$4:$P$203,0))</f>
        <v>59</v>
      </c>
      <c r="D42" s="20" t="s">
        <v>754</v>
      </c>
      <c r="E42" s="19" t="s">
        <v>762</v>
      </c>
      <c r="F42" s="19"/>
    </row>
    <row r="43" spans="1:6" ht="25.8" x14ac:dyDescent="0.25">
      <c r="A43" s="19">
        <v>5</v>
      </c>
      <c r="B43" s="19" t="s">
        <v>763</v>
      </c>
      <c r="C43" s="15">
        <f>INDEX('Scored Shortlist'!$I$4:$I$203,MATCH("CV009|JD3",'Scored Shortlist'!$P$4:$P$203,0))</f>
        <v>57</v>
      </c>
      <c r="D43" s="20" t="s">
        <v>754</v>
      </c>
      <c r="E43" s="19" t="s">
        <v>764</v>
      </c>
      <c r="F43" s="19"/>
    </row>
    <row r="44" spans="1:6" ht="25.8" x14ac:dyDescent="0.25">
      <c r="A44" s="19">
        <v>6</v>
      </c>
      <c r="B44" s="19" t="s">
        <v>765</v>
      </c>
      <c r="C44" s="15">
        <f>INDEX('Scored Shortlist'!$I$4:$I$203,MATCH("CV072|JD3",'Scored Shortlist'!$P$4:$P$203,0))</f>
        <v>54</v>
      </c>
      <c r="D44" s="20" t="s">
        <v>754</v>
      </c>
      <c r="E44" s="19" t="s">
        <v>766</v>
      </c>
      <c r="F44" s="19"/>
    </row>
    <row r="45" spans="1:6" x14ac:dyDescent="0.25">
      <c r="A45" s="19">
        <v>7</v>
      </c>
      <c r="B45" s="19" t="s">
        <v>767</v>
      </c>
      <c r="C45" s="15">
        <f>INDEX('Scored Shortlist'!$I$4:$I$203,MATCH("CV030|JD3",'Scored Shortlist'!$P$4:$P$203,0))</f>
        <v>47</v>
      </c>
      <c r="D45" s="20" t="s">
        <v>754</v>
      </c>
      <c r="E45" s="19" t="s">
        <v>768</v>
      </c>
      <c r="F45" s="19"/>
    </row>
    <row r="46" spans="1:6" x14ac:dyDescent="0.25">
      <c r="A46" s="19">
        <v>8</v>
      </c>
      <c r="B46" s="19" t="s">
        <v>769</v>
      </c>
      <c r="C46" s="15">
        <f>INDEX('Scored Shortlist'!$I$4:$I$203,MATCH("CV060|JD3",'Scored Shortlist'!$P$4:$P$203,0))</f>
        <v>42</v>
      </c>
      <c r="D46" s="20" t="s">
        <v>754</v>
      </c>
      <c r="E46" s="19" t="s">
        <v>770</v>
      </c>
      <c r="F46" s="19"/>
    </row>
    <row r="47" spans="1:6" x14ac:dyDescent="0.25">
      <c r="A47" s="19">
        <v>9</v>
      </c>
      <c r="B47" s="19" t="s">
        <v>771</v>
      </c>
      <c r="C47" s="15">
        <f>INDEX('Scored Shortlist'!$I$4:$I$203,MATCH("CV010|JD3",'Scored Shortlist'!$P$4:$P$203,0))</f>
        <v>36</v>
      </c>
      <c r="D47" s="20" t="s">
        <v>754</v>
      </c>
      <c r="E47" s="19" t="s">
        <v>772</v>
      </c>
      <c r="F47" s="19"/>
    </row>
    <row r="48" spans="1:6" x14ac:dyDescent="0.25">
      <c r="A48" s="19">
        <v>10</v>
      </c>
      <c r="B48" s="19" t="s">
        <v>773</v>
      </c>
      <c r="C48" s="15">
        <f>INDEX('Scored Shortlist'!$I$4:$I$203,MATCH("CV100|JD3",'Scored Shortlist'!$P$4:$P$203,0))</f>
        <v>23</v>
      </c>
      <c r="D48" s="20" t="s">
        <v>754</v>
      </c>
      <c r="E48" s="19" t="s">
        <v>774</v>
      </c>
      <c r="F48" s="19"/>
    </row>
    <row r="49" spans="1:6" ht="25.8" x14ac:dyDescent="0.25">
      <c r="A49" s="19">
        <v>11</v>
      </c>
      <c r="B49" s="19" t="s">
        <v>775</v>
      </c>
      <c r="C49" s="15">
        <f>INDEX('Scored Shortlist'!$I$4:$I$203,MATCH("CV086|JD5",'Scored Shortlist'!$P$4:$P$203,0))</f>
        <v>82</v>
      </c>
      <c r="D49" s="20" t="s">
        <v>754</v>
      </c>
      <c r="E49" s="19" t="s">
        <v>776</v>
      </c>
      <c r="F49" s="19"/>
    </row>
    <row r="50" spans="1:6" x14ac:dyDescent="0.25">
      <c r="A50" s="19">
        <v>12</v>
      </c>
      <c r="B50" s="19" t="s">
        <v>777</v>
      </c>
      <c r="C50" s="15">
        <f>INDEX('Scored Shortlist'!$I$4:$I$203,MATCH("CV052|JD5",'Scored Shortlist'!$P$4:$P$203,0))</f>
        <v>72</v>
      </c>
      <c r="D50" s="20" t="s">
        <v>754</v>
      </c>
      <c r="E50" s="19" t="s">
        <v>778</v>
      </c>
      <c r="F50" s="19"/>
    </row>
    <row r="51" spans="1:6" ht="25.8" x14ac:dyDescent="0.25">
      <c r="A51" s="19">
        <v>13</v>
      </c>
      <c r="B51" s="19" t="s">
        <v>779</v>
      </c>
      <c r="C51" s="15">
        <f>INDEX('Scored Shortlist'!$I$4:$I$203,MATCH("CV009|JD5",'Scored Shortlist'!$P$4:$P$203,0))</f>
        <v>60</v>
      </c>
      <c r="D51" s="20" t="s">
        <v>754</v>
      </c>
      <c r="E51" s="19" t="s">
        <v>780</v>
      </c>
      <c r="F51" s="19"/>
    </row>
    <row r="52" spans="1:6" ht="25.8" x14ac:dyDescent="0.25">
      <c r="A52" s="19">
        <v>14</v>
      </c>
      <c r="B52" s="19" t="s">
        <v>781</v>
      </c>
      <c r="C52" s="15">
        <f>INDEX('Scored Shortlist'!$I$4:$I$203,MATCH("CV057|JD5",'Scored Shortlist'!$P$4:$P$203,0))</f>
        <v>59</v>
      </c>
      <c r="D52" s="20" t="s">
        <v>754</v>
      </c>
      <c r="E52" s="19" t="s">
        <v>782</v>
      </c>
      <c r="F52" s="19" t="s">
        <v>783</v>
      </c>
    </row>
    <row r="53" spans="1:6" ht="38.700000000000003" x14ac:dyDescent="0.25">
      <c r="A53" s="19">
        <v>15</v>
      </c>
      <c r="B53" s="19" t="s">
        <v>784</v>
      </c>
      <c r="C53" s="15">
        <f>INDEX('Scored Shortlist'!$I$4:$I$203,MATCH("CV022|JD5",'Scored Shortlist'!$P$4:$P$203,0))</f>
        <v>57</v>
      </c>
      <c r="D53" s="20" t="s">
        <v>754</v>
      </c>
      <c r="E53" s="19" t="s">
        <v>785</v>
      </c>
      <c r="F53" s="19" t="s">
        <v>786</v>
      </c>
    </row>
    <row r="54" spans="1:6" x14ac:dyDescent="0.25">
      <c r="A54" s="19">
        <v>16</v>
      </c>
      <c r="B54" s="19" t="s">
        <v>787</v>
      </c>
      <c r="C54" s="15">
        <f>INDEX('Scored Shortlist'!$I$4:$I$203,MATCH("CV049|JD5",'Scored Shortlist'!$P$4:$P$203,0))</f>
        <v>53</v>
      </c>
      <c r="D54" s="20" t="s">
        <v>754</v>
      </c>
      <c r="E54" s="19" t="s">
        <v>788</v>
      </c>
      <c r="F54" s="19"/>
    </row>
    <row r="55" spans="1:6" ht="25.8" x14ac:dyDescent="0.25">
      <c r="A55" s="19">
        <v>17</v>
      </c>
      <c r="B55" s="19" t="s">
        <v>789</v>
      </c>
      <c r="C55" s="15">
        <f>INDEX('Scored Shortlist'!$I$4:$I$203,MATCH("CV014|JD5",'Scored Shortlist'!$P$4:$P$203,0))</f>
        <v>45</v>
      </c>
      <c r="D55" s="20" t="s">
        <v>754</v>
      </c>
      <c r="E55" s="19" t="s">
        <v>790</v>
      </c>
      <c r="F55" s="19"/>
    </row>
    <row r="56" spans="1:6" x14ac:dyDescent="0.25">
      <c r="A56" s="19">
        <v>18</v>
      </c>
      <c r="B56" s="19" t="s">
        <v>791</v>
      </c>
      <c r="C56" s="15">
        <f>INDEX('Scored Shortlist'!$I$4:$I$203,MATCH("CV044|JD5",'Scored Shortlist'!$P$4:$P$203,0))</f>
        <v>40</v>
      </c>
      <c r="D56" s="20" t="s">
        <v>754</v>
      </c>
      <c r="E56" s="19" t="s">
        <v>792</v>
      </c>
      <c r="F56" s="19"/>
    </row>
    <row r="57" spans="1:6" x14ac:dyDescent="0.25">
      <c r="A57" s="19">
        <v>19</v>
      </c>
      <c r="B57" s="19" t="s">
        <v>793</v>
      </c>
      <c r="C57" s="15">
        <f>INDEX('Scored Shortlist'!$I$4:$I$203,MATCH("CV030|JD5",'Scored Shortlist'!$P$4:$P$203,0))</f>
        <v>32</v>
      </c>
      <c r="D57" s="20" t="s">
        <v>754</v>
      </c>
      <c r="E57" s="19" t="s">
        <v>794</v>
      </c>
      <c r="F57" s="19"/>
    </row>
    <row r="58" spans="1:6" x14ac:dyDescent="0.25">
      <c r="A58" s="19">
        <v>20</v>
      </c>
      <c r="B58" s="19" t="s">
        <v>795</v>
      </c>
      <c r="C58" s="15">
        <f>INDEX('Scored Shortlist'!$I$4:$I$203,MATCH("CV078|JD5",'Scored Shortlist'!$P$4:$P$203,0))</f>
        <v>9</v>
      </c>
      <c r="D58" s="20" t="s">
        <v>754</v>
      </c>
      <c r="E58" s="19" t="s">
        <v>796</v>
      </c>
      <c r="F58" s="19"/>
    </row>
    <row r="59" spans="1:6" x14ac:dyDescent="0.25">
      <c r="B59" s="14" t="s">
        <v>797</v>
      </c>
      <c r="C59" s="16" t="str">
        <f>COUNTIF(D39:D58,"Yes")&amp;" of 20"</f>
        <v>20 of 20</v>
      </c>
    </row>
    <row r="61" spans="1:6" ht="14" x14ac:dyDescent="0.3">
      <c r="A61" s="18" t="s">
        <v>798</v>
      </c>
    </row>
    <row r="62" spans="1:6" x14ac:dyDescent="0.25">
      <c r="A62" s="13" t="s">
        <v>705</v>
      </c>
      <c r="B62" s="13" t="s">
        <v>799</v>
      </c>
      <c r="C62" s="13" t="s">
        <v>800</v>
      </c>
      <c r="D62" s="13" t="s">
        <v>801</v>
      </c>
      <c r="E62" s="13" t="s">
        <v>802</v>
      </c>
      <c r="F62" s="13" t="s">
        <v>621</v>
      </c>
    </row>
    <row r="63" spans="1:6" ht="43.55" customHeight="1" x14ac:dyDescent="0.25">
      <c r="A63" s="19">
        <v>1</v>
      </c>
      <c r="B63" s="19" t="s">
        <v>803</v>
      </c>
      <c r="C63" s="19" t="s">
        <v>804</v>
      </c>
      <c r="D63" s="19" t="s">
        <v>805</v>
      </c>
      <c r="E63" s="19" t="s">
        <v>806</v>
      </c>
      <c r="F63" s="19" t="s">
        <v>807</v>
      </c>
    </row>
    <row r="64" spans="1:6" ht="43.55" customHeight="1" x14ac:dyDescent="0.25">
      <c r="A64" s="19">
        <v>2</v>
      </c>
      <c r="B64" s="19" t="s">
        <v>808</v>
      </c>
      <c r="C64" s="19" t="s">
        <v>809</v>
      </c>
      <c r="D64" s="19" t="s">
        <v>810</v>
      </c>
      <c r="E64" s="19" t="s">
        <v>811</v>
      </c>
      <c r="F64" s="19" t="s">
        <v>812</v>
      </c>
    </row>
    <row r="65" spans="1:6" ht="43.55" customHeight="1" x14ac:dyDescent="0.25">
      <c r="A65" s="19">
        <v>3</v>
      </c>
      <c r="B65" s="19" t="s">
        <v>813</v>
      </c>
      <c r="C65" s="19" t="s">
        <v>814</v>
      </c>
      <c r="D65" s="19" t="s">
        <v>815</v>
      </c>
      <c r="E65" s="19" t="s">
        <v>816</v>
      </c>
      <c r="F65" s="19" t="s">
        <v>812</v>
      </c>
    </row>
    <row r="66" spans="1:6" ht="43.55" customHeight="1" x14ac:dyDescent="0.25">
      <c r="A66" s="19">
        <v>4</v>
      </c>
      <c r="B66" s="19" t="s">
        <v>817</v>
      </c>
      <c r="C66" s="19" t="s">
        <v>818</v>
      </c>
      <c r="D66" s="19" t="s">
        <v>819</v>
      </c>
      <c r="E66" s="19" t="s">
        <v>820</v>
      </c>
      <c r="F66" s="19" t="s">
        <v>812</v>
      </c>
    </row>
    <row r="67" spans="1:6" ht="43.55" customHeight="1" x14ac:dyDescent="0.25">
      <c r="A67" s="19">
        <v>5</v>
      </c>
      <c r="B67" s="19" t="s">
        <v>821</v>
      </c>
      <c r="C67" s="19" t="s">
        <v>822</v>
      </c>
      <c r="D67" s="19" t="s">
        <v>823</v>
      </c>
      <c r="E67" s="19" t="s">
        <v>824</v>
      </c>
      <c r="F67" s="19" t="s">
        <v>825</v>
      </c>
    </row>
    <row r="68" spans="1:6" ht="43.55" customHeight="1" x14ac:dyDescent="0.25">
      <c r="A68" s="19">
        <v>6</v>
      </c>
      <c r="B68" s="19" t="s">
        <v>826</v>
      </c>
      <c r="C68" s="19" t="s">
        <v>827</v>
      </c>
      <c r="D68" s="19" t="s">
        <v>828</v>
      </c>
      <c r="E68" s="19" t="s">
        <v>829</v>
      </c>
      <c r="F68" s="19" t="s">
        <v>812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7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2.9" x14ac:dyDescent="0.25"/>
  <cols>
    <col min="1" max="1" width="11" customWidth="1"/>
    <col min="2" max="2" width="18" customWidth="1"/>
    <col min="3" max="3" width="10" customWidth="1"/>
    <col min="4" max="4" width="18" customWidth="1"/>
    <col min="5" max="5" width="10" customWidth="1"/>
    <col min="6" max="7" width="9" customWidth="1"/>
    <col min="8" max="8" width="8" customWidth="1"/>
    <col min="9" max="10" width="14" customWidth="1"/>
    <col min="11" max="12" width="9" customWidth="1"/>
    <col min="13" max="13" width="8" customWidth="1"/>
    <col min="14" max="15" width="14" customWidth="1"/>
    <col min="16" max="17" width="10" customWidth="1"/>
  </cols>
  <sheetData>
    <row r="1" spans="1:17" ht="17.75" x14ac:dyDescent="0.35">
      <c r="A1" s="4" t="s">
        <v>830</v>
      </c>
    </row>
    <row r="2" spans="1:17" ht="13.45" x14ac:dyDescent="0.3">
      <c r="A2" s="12" t="s">
        <v>831</v>
      </c>
    </row>
    <row r="4" spans="1:17" ht="14" x14ac:dyDescent="0.3">
      <c r="A4" s="18" t="s">
        <v>832</v>
      </c>
    </row>
    <row r="5" spans="1:17" ht="51.6" x14ac:dyDescent="0.25">
      <c r="A5" s="13" t="s">
        <v>75</v>
      </c>
      <c r="B5" s="13" t="s">
        <v>833</v>
      </c>
      <c r="C5" s="13" t="s">
        <v>834</v>
      </c>
      <c r="D5" s="13" t="s">
        <v>835</v>
      </c>
      <c r="E5" s="13" t="s">
        <v>836</v>
      </c>
      <c r="F5" s="13" t="s">
        <v>837</v>
      </c>
      <c r="G5" s="13" t="s">
        <v>838</v>
      </c>
      <c r="H5" s="13" t="s">
        <v>839</v>
      </c>
      <c r="I5" s="13" t="s">
        <v>840</v>
      </c>
      <c r="J5" s="13" t="s">
        <v>841</v>
      </c>
      <c r="K5" s="13" t="s">
        <v>842</v>
      </c>
      <c r="L5" s="13" t="s">
        <v>843</v>
      </c>
      <c r="M5" s="13" t="s">
        <v>844</v>
      </c>
      <c r="N5" s="13" t="s">
        <v>845</v>
      </c>
      <c r="O5" s="13" t="s">
        <v>846</v>
      </c>
      <c r="P5" s="13" t="s">
        <v>847</v>
      </c>
      <c r="Q5" s="13" t="s">
        <v>848</v>
      </c>
    </row>
    <row r="6" spans="1:17" x14ac:dyDescent="0.25">
      <c r="A6" s="19" t="s">
        <v>96</v>
      </c>
      <c r="B6" s="19" t="str">
        <f>INDEX(Resumes!$B$2:$B$101,MATCH(A6,Resumes!$A$2:$A$101,0))</f>
        <v>Shreya Shah</v>
      </c>
      <c r="C6" s="19" t="str">
        <f>INDEX(Resumes!$C$2:$C$101,MATCH(A6,Resumes!$A$2:$A$101,0))</f>
        <v>Female</v>
      </c>
      <c r="D6" s="21" t="s">
        <v>849</v>
      </c>
      <c r="E6" s="21" t="s">
        <v>850</v>
      </c>
      <c r="F6" s="15">
        <f>INDEX('Scored Shortlist'!$I$4:$I$203,MATCH(A6&amp;"|JD3",'Scored Shortlist'!$P$4:$P$203,0))</f>
        <v>73</v>
      </c>
      <c r="G6" s="20">
        <v>73</v>
      </c>
      <c r="H6" s="16">
        <f t="shared" ref="H6:H15" si="0">G6-F6</f>
        <v>0</v>
      </c>
      <c r="I6" s="15" t="str">
        <f>INDEX('Scored Shortlist'!$J$4:$J$203,MATCH(A6&amp;"|JD3",'Scored Shortlist'!$P$4:$P$203,0))</f>
        <v>Shortlist</v>
      </c>
      <c r="J6" s="15" t="str">
        <f t="shared" ref="J6:J15" si="1">IF(AND(G6&gt;=SL_CUT,P6&gt;=SL_SKILL),"Shortlist",IF(AND(G6&gt;=RV_CUT,P6&gt;=RV_SKILL),"Review","Not shortlisted"))</f>
        <v>Shortlist</v>
      </c>
      <c r="K6" s="15">
        <f>INDEX('Scored Shortlist'!$I$4:$I$203,MATCH(A6&amp;"|JD5",'Scored Shortlist'!$P$4:$P$203,0))</f>
        <v>43</v>
      </c>
      <c r="L6" s="20">
        <v>43</v>
      </c>
      <c r="M6" s="16">
        <f t="shared" ref="M6:M15" si="2">L6-K6</f>
        <v>0</v>
      </c>
      <c r="N6" s="15" t="str">
        <f>INDEX('Scored Shortlist'!$J$4:$J$203,MATCH(A6&amp;"|JD5",'Scored Shortlist'!$P$4:$P$203,0))</f>
        <v>Not shortlisted</v>
      </c>
      <c r="O6" s="15" t="str">
        <f t="shared" ref="O6:O15" si="3">IF(AND(L6&gt;=SL_CUT,Q6&gt;=SL_SKILL),"Shortlist",IF(AND(L6&gt;=RV_CUT,Q6&gt;=RV_SKILL),"Review","Not shortlisted"))</f>
        <v>Not shortlisted</v>
      </c>
      <c r="P6" s="20">
        <v>20</v>
      </c>
      <c r="Q6" s="20">
        <v>8</v>
      </c>
    </row>
    <row r="7" spans="1:17" x14ac:dyDescent="0.25">
      <c r="A7" s="19" t="s">
        <v>118</v>
      </c>
      <c r="B7" s="19" t="str">
        <f>INDEX(Resumes!$B$2:$B$101,MATCH(A7,Resumes!$A$2:$A$101,0))</f>
        <v>Sneha Verma</v>
      </c>
      <c r="C7" s="19" t="str">
        <f>INDEX(Resumes!$C$2:$C$101,MATCH(A7,Resumes!$A$2:$A$101,0))</f>
        <v>Female</v>
      </c>
      <c r="D7" s="21" t="s">
        <v>851</v>
      </c>
      <c r="E7" s="21" t="s">
        <v>850</v>
      </c>
      <c r="F7" s="15">
        <f>INDEX('Scored Shortlist'!$I$4:$I$203,MATCH(A7&amp;"|JD3",'Scored Shortlist'!$P$4:$P$203,0))</f>
        <v>63</v>
      </c>
      <c r="G7" s="20">
        <v>63</v>
      </c>
      <c r="H7" s="16">
        <f t="shared" si="0"/>
        <v>0</v>
      </c>
      <c r="I7" s="15" t="str">
        <f>INDEX('Scored Shortlist'!$J$4:$J$203,MATCH(A7&amp;"|JD3",'Scored Shortlist'!$P$4:$P$203,0))</f>
        <v>Shortlist</v>
      </c>
      <c r="J7" s="15" t="str">
        <f t="shared" si="1"/>
        <v>Shortlist</v>
      </c>
      <c r="K7" s="15">
        <f>INDEX('Scored Shortlist'!$I$4:$I$203,MATCH(A7&amp;"|JD5",'Scored Shortlist'!$P$4:$P$203,0))</f>
        <v>72</v>
      </c>
      <c r="L7" s="20">
        <v>72</v>
      </c>
      <c r="M7" s="16">
        <f t="shared" si="2"/>
        <v>0</v>
      </c>
      <c r="N7" s="15" t="str">
        <f>INDEX('Scored Shortlist'!$J$4:$J$203,MATCH(A7&amp;"|JD5",'Scored Shortlist'!$P$4:$P$203,0))</f>
        <v>Shortlist</v>
      </c>
      <c r="O7" s="15" t="str">
        <f t="shared" si="3"/>
        <v>Shortlist</v>
      </c>
      <c r="P7" s="20">
        <v>16</v>
      </c>
      <c r="Q7" s="20">
        <v>16</v>
      </c>
    </row>
    <row r="8" spans="1:17" x14ac:dyDescent="0.25">
      <c r="A8" s="19" t="s">
        <v>145</v>
      </c>
      <c r="B8" s="19" t="str">
        <f>INDEX(Resumes!$B$2:$B$101,MATCH(A8,Resumes!$A$2:$A$101,0))</f>
        <v>Lakshmi Gupta</v>
      </c>
      <c r="C8" s="19" t="str">
        <f>INDEX(Resumes!$C$2:$C$101,MATCH(A8,Resumes!$A$2:$A$101,0))</f>
        <v>Female</v>
      </c>
      <c r="D8" s="21" t="s">
        <v>852</v>
      </c>
      <c r="E8" s="21" t="s">
        <v>850</v>
      </c>
      <c r="F8" s="15">
        <f>INDEX('Scored Shortlist'!$I$4:$I$203,MATCH(A8&amp;"|JD3",'Scored Shortlist'!$P$4:$P$203,0))</f>
        <v>56</v>
      </c>
      <c r="G8" s="20">
        <v>56</v>
      </c>
      <c r="H8" s="16">
        <f t="shared" si="0"/>
        <v>0</v>
      </c>
      <c r="I8" s="15" t="str">
        <f>INDEX('Scored Shortlist'!$J$4:$J$203,MATCH(A8&amp;"|JD3",'Scored Shortlist'!$P$4:$P$203,0))</f>
        <v>Review</v>
      </c>
      <c r="J8" s="15" t="str">
        <f t="shared" si="1"/>
        <v>Review</v>
      </c>
      <c r="K8" s="15">
        <f>INDEX('Scored Shortlist'!$I$4:$I$203,MATCH(A8&amp;"|JD5",'Scored Shortlist'!$P$4:$P$203,0))</f>
        <v>59</v>
      </c>
      <c r="L8" s="20">
        <v>59</v>
      </c>
      <c r="M8" s="16">
        <f t="shared" si="2"/>
        <v>0</v>
      </c>
      <c r="N8" s="15" t="str">
        <f>INDEX('Scored Shortlist'!$J$4:$J$203,MATCH(A8&amp;"|JD5",'Scored Shortlist'!$P$4:$P$203,0))</f>
        <v>Review</v>
      </c>
      <c r="O8" s="15" t="str">
        <f t="shared" si="3"/>
        <v>Review</v>
      </c>
      <c r="P8" s="20">
        <v>8</v>
      </c>
      <c r="Q8" s="20">
        <v>16</v>
      </c>
    </row>
    <row r="9" spans="1:17" x14ac:dyDescent="0.25">
      <c r="A9" s="19" t="s">
        <v>212</v>
      </c>
      <c r="B9" s="19" t="str">
        <f>INDEX(Resumes!$B$2:$B$101,MATCH(A9,Resumes!$A$2:$A$101,0))</f>
        <v>Divya Chatterjee</v>
      </c>
      <c r="C9" s="19" t="str">
        <f>INDEX(Resumes!$C$2:$C$101,MATCH(A9,Resumes!$A$2:$A$101,0))</f>
        <v>Female</v>
      </c>
      <c r="D9" s="21" t="s">
        <v>853</v>
      </c>
      <c r="E9" s="21" t="s">
        <v>850</v>
      </c>
      <c r="F9" s="15">
        <f>INDEX('Scored Shortlist'!$I$4:$I$203,MATCH(A9&amp;"|JD3",'Scored Shortlist'!$P$4:$P$203,0))</f>
        <v>47</v>
      </c>
      <c r="G9" s="20">
        <v>47</v>
      </c>
      <c r="H9" s="16">
        <f t="shared" si="0"/>
        <v>0</v>
      </c>
      <c r="I9" s="15" t="str">
        <f>INDEX('Scored Shortlist'!$J$4:$J$203,MATCH(A9&amp;"|JD3",'Scored Shortlist'!$P$4:$P$203,0))</f>
        <v>Not shortlisted</v>
      </c>
      <c r="J9" s="15" t="str">
        <f t="shared" si="1"/>
        <v>Not shortlisted</v>
      </c>
      <c r="K9" s="15">
        <f>INDEX('Scored Shortlist'!$I$4:$I$203,MATCH(A9&amp;"|JD5",'Scored Shortlist'!$P$4:$P$203,0))</f>
        <v>59</v>
      </c>
      <c r="L9" s="20">
        <v>59</v>
      </c>
      <c r="M9" s="16">
        <f t="shared" si="2"/>
        <v>0</v>
      </c>
      <c r="N9" s="15" t="str">
        <f>INDEX('Scored Shortlist'!$J$4:$J$203,MATCH(A9&amp;"|JD5",'Scored Shortlist'!$P$4:$P$203,0))</f>
        <v>Review</v>
      </c>
      <c r="O9" s="15" t="str">
        <f t="shared" si="3"/>
        <v>Review</v>
      </c>
      <c r="P9" s="20">
        <v>12</v>
      </c>
      <c r="Q9" s="20">
        <v>16</v>
      </c>
    </row>
    <row r="10" spans="1:17" x14ac:dyDescent="0.25">
      <c r="A10" s="19" t="s">
        <v>194</v>
      </c>
      <c r="B10" s="19" t="str">
        <f>INDEX(Resumes!$B$2:$B$101,MATCH(A10,Resumes!$A$2:$A$101,0))</f>
        <v>Simran Menon</v>
      </c>
      <c r="C10" s="19" t="str">
        <f>INDEX(Resumes!$C$2:$C$101,MATCH(A10,Resumes!$A$2:$A$101,0))</f>
        <v>Female</v>
      </c>
      <c r="D10" s="21" t="s">
        <v>854</v>
      </c>
      <c r="E10" s="21" t="s">
        <v>850</v>
      </c>
      <c r="F10" s="15">
        <f>INDEX('Scored Shortlist'!$I$4:$I$203,MATCH(A10&amp;"|JD3",'Scored Shortlist'!$P$4:$P$203,0))</f>
        <v>48</v>
      </c>
      <c r="G10" s="20">
        <v>48</v>
      </c>
      <c r="H10" s="16">
        <f t="shared" si="0"/>
        <v>0</v>
      </c>
      <c r="I10" s="15" t="str">
        <f>INDEX('Scored Shortlist'!$J$4:$J$203,MATCH(A10&amp;"|JD3",'Scored Shortlist'!$P$4:$P$203,0))</f>
        <v>Not shortlisted</v>
      </c>
      <c r="J10" s="15" t="str">
        <f t="shared" si="1"/>
        <v>Not shortlisted</v>
      </c>
      <c r="K10" s="15">
        <f>INDEX('Scored Shortlist'!$I$4:$I$203,MATCH(A10&amp;"|JD5",'Scored Shortlist'!$P$4:$P$203,0))</f>
        <v>56</v>
      </c>
      <c r="L10" s="20">
        <v>56</v>
      </c>
      <c r="M10" s="16">
        <f t="shared" si="2"/>
        <v>0</v>
      </c>
      <c r="N10" s="15" t="str">
        <f>INDEX('Scored Shortlist'!$J$4:$J$203,MATCH(A10&amp;"|JD5",'Scored Shortlist'!$P$4:$P$203,0))</f>
        <v>Review</v>
      </c>
      <c r="O10" s="15" t="str">
        <f t="shared" si="3"/>
        <v>Review</v>
      </c>
      <c r="P10" s="20">
        <v>12</v>
      </c>
      <c r="Q10" s="20">
        <v>12</v>
      </c>
    </row>
    <row r="11" spans="1:17" x14ac:dyDescent="0.25">
      <c r="A11" s="19" t="s">
        <v>101</v>
      </c>
      <c r="B11" s="19" t="str">
        <f>INDEX(Resumes!$B$2:$B$101,MATCH(A11,Resumes!$A$2:$A$101,0))</f>
        <v>Rahul Pawar</v>
      </c>
      <c r="C11" s="19" t="str">
        <f>INDEX(Resumes!$C$2:$C$101,MATCH(A11,Resumes!$A$2:$A$101,0))</f>
        <v>Male</v>
      </c>
      <c r="D11" s="21" t="s">
        <v>855</v>
      </c>
      <c r="E11" s="21" t="s">
        <v>856</v>
      </c>
      <c r="F11" s="15">
        <f>INDEX('Scored Shortlist'!$I$4:$I$203,MATCH(A11&amp;"|JD3",'Scored Shortlist'!$P$4:$P$203,0))</f>
        <v>72</v>
      </c>
      <c r="G11" s="20">
        <v>72</v>
      </c>
      <c r="H11" s="16">
        <f t="shared" si="0"/>
        <v>0</v>
      </c>
      <c r="I11" s="15" t="str">
        <f>INDEX('Scored Shortlist'!$J$4:$J$203,MATCH(A11&amp;"|JD3",'Scored Shortlist'!$P$4:$P$203,0))</f>
        <v>Shortlist</v>
      </c>
      <c r="J11" s="15" t="str">
        <f t="shared" si="1"/>
        <v>Shortlist</v>
      </c>
      <c r="K11" s="15">
        <f>INDEX('Scored Shortlist'!$I$4:$I$203,MATCH(A11&amp;"|JD5",'Scored Shortlist'!$P$4:$P$203,0))</f>
        <v>63</v>
      </c>
      <c r="L11" s="20">
        <v>63</v>
      </c>
      <c r="M11" s="16">
        <f t="shared" si="2"/>
        <v>0</v>
      </c>
      <c r="N11" s="15" t="str">
        <f>INDEX('Scored Shortlist'!$J$4:$J$203,MATCH(A11&amp;"|JD5",'Scored Shortlist'!$P$4:$P$203,0))</f>
        <v>Shortlist</v>
      </c>
      <c r="O11" s="15" t="str">
        <f t="shared" si="3"/>
        <v>Shortlist</v>
      </c>
      <c r="P11" s="20">
        <v>12</v>
      </c>
      <c r="Q11" s="20">
        <v>16</v>
      </c>
    </row>
    <row r="12" spans="1:17" x14ac:dyDescent="0.25">
      <c r="A12" s="19" t="s">
        <v>185</v>
      </c>
      <c r="B12" s="19" t="str">
        <f>INDEX(Resumes!$B$2:$B$101,MATCH(A12,Resumes!$A$2:$A$101,0))</f>
        <v>Kabir Das</v>
      </c>
      <c r="C12" s="19" t="str">
        <f>INDEX(Resumes!$C$2:$C$101,MATCH(A12,Resumes!$A$2:$A$101,0))</f>
        <v>Male</v>
      </c>
      <c r="D12" s="21" t="s">
        <v>857</v>
      </c>
      <c r="E12" s="21" t="s">
        <v>856</v>
      </c>
      <c r="F12" s="15">
        <f>INDEX('Scored Shortlist'!$I$4:$I$203,MATCH(A12&amp;"|JD3",'Scored Shortlist'!$P$4:$P$203,0))</f>
        <v>50</v>
      </c>
      <c r="G12" s="20">
        <v>50</v>
      </c>
      <c r="H12" s="16">
        <f t="shared" si="0"/>
        <v>0</v>
      </c>
      <c r="I12" s="15" t="str">
        <f>INDEX('Scored Shortlist'!$J$4:$J$203,MATCH(A12&amp;"|JD3",'Scored Shortlist'!$P$4:$P$203,0))</f>
        <v>Not shortlisted</v>
      </c>
      <c r="J12" s="15" t="str">
        <f t="shared" si="1"/>
        <v>Not shortlisted</v>
      </c>
      <c r="K12" s="15">
        <f>INDEX('Scored Shortlist'!$I$4:$I$203,MATCH(A12&amp;"|JD5",'Scored Shortlist'!$P$4:$P$203,0))</f>
        <v>76</v>
      </c>
      <c r="L12" s="20">
        <v>76</v>
      </c>
      <c r="M12" s="16">
        <f t="shared" si="2"/>
        <v>0</v>
      </c>
      <c r="N12" s="15" t="str">
        <f>INDEX('Scored Shortlist'!$J$4:$J$203,MATCH(A12&amp;"|JD5",'Scored Shortlist'!$P$4:$P$203,0))</f>
        <v>Shortlist</v>
      </c>
      <c r="O12" s="15" t="str">
        <f t="shared" si="3"/>
        <v>Shortlist</v>
      </c>
      <c r="P12" s="20">
        <v>16</v>
      </c>
      <c r="Q12" s="20">
        <v>24</v>
      </c>
    </row>
    <row r="13" spans="1:17" x14ac:dyDescent="0.25">
      <c r="A13" s="19" t="s">
        <v>134</v>
      </c>
      <c r="B13" s="19" t="str">
        <f>INDEX(Resumes!$B$2:$B$101,MATCH(A13,Resumes!$A$2:$A$101,0))</f>
        <v>Vivaan Das</v>
      </c>
      <c r="C13" s="19" t="str">
        <f>INDEX(Resumes!$C$2:$C$101,MATCH(A13,Resumes!$A$2:$A$101,0))</f>
        <v>Male</v>
      </c>
      <c r="D13" s="21" t="s">
        <v>858</v>
      </c>
      <c r="E13" s="21" t="s">
        <v>856</v>
      </c>
      <c r="F13" s="15">
        <f>INDEX('Scored Shortlist'!$I$4:$I$203,MATCH(A13&amp;"|JD3",'Scored Shortlist'!$P$4:$P$203,0))</f>
        <v>57</v>
      </c>
      <c r="G13" s="20">
        <v>57</v>
      </c>
      <c r="H13" s="16">
        <f t="shared" si="0"/>
        <v>0</v>
      </c>
      <c r="I13" s="15" t="str">
        <f>INDEX('Scored Shortlist'!$J$4:$J$203,MATCH(A13&amp;"|JD3",'Scored Shortlist'!$P$4:$P$203,0))</f>
        <v>Review</v>
      </c>
      <c r="J13" s="15" t="str">
        <f t="shared" si="1"/>
        <v>Review</v>
      </c>
      <c r="K13" s="15">
        <f>INDEX('Scored Shortlist'!$I$4:$I$203,MATCH(A13&amp;"|JD5",'Scored Shortlist'!$P$4:$P$203,0))</f>
        <v>60</v>
      </c>
      <c r="L13" s="20">
        <v>60</v>
      </c>
      <c r="M13" s="16">
        <f t="shared" si="2"/>
        <v>0</v>
      </c>
      <c r="N13" s="15" t="str">
        <f>INDEX('Scored Shortlist'!$J$4:$J$203,MATCH(A13&amp;"|JD5",'Scored Shortlist'!$P$4:$P$203,0))</f>
        <v>Shortlist</v>
      </c>
      <c r="O13" s="15" t="str">
        <f t="shared" si="3"/>
        <v>Shortlist</v>
      </c>
      <c r="P13" s="20">
        <v>8</v>
      </c>
      <c r="Q13" s="20">
        <v>16</v>
      </c>
    </row>
    <row r="14" spans="1:17" x14ac:dyDescent="0.25">
      <c r="A14" s="19" t="s">
        <v>111</v>
      </c>
      <c r="B14" s="19" t="str">
        <f>INDEX(Resumes!$B$2:$B$101,MATCH(A14,Resumes!$A$2:$A$101,0))</f>
        <v>Tushar Deshmukh</v>
      </c>
      <c r="C14" s="19" t="str">
        <f>INDEX(Resumes!$C$2:$C$101,MATCH(A14,Resumes!$A$2:$A$101,0))</f>
        <v>Male</v>
      </c>
      <c r="D14" s="21" t="s">
        <v>859</v>
      </c>
      <c r="E14" s="21" t="s">
        <v>856</v>
      </c>
      <c r="F14" s="15">
        <f>INDEX('Scored Shortlist'!$I$4:$I$203,MATCH(A14&amp;"|JD3",'Scored Shortlist'!$P$4:$P$203,0))</f>
        <v>67</v>
      </c>
      <c r="G14" s="20">
        <v>67</v>
      </c>
      <c r="H14" s="16">
        <f t="shared" si="0"/>
        <v>0</v>
      </c>
      <c r="I14" s="15" t="str">
        <f>INDEX('Scored Shortlist'!$J$4:$J$203,MATCH(A14&amp;"|JD3",'Scored Shortlist'!$P$4:$P$203,0))</f>
        <v>Shortlist</v>
      </c>
      <c r="J14" s="15" t="str">
        <f t="shared" si="1"/>
        <v>Shortlist</v>
      </c>
      <c r="K14" s="15">
        <f>INDEX('Scored Shortlist'!$I$4:$I$203,MATCH(A14&amp;"|JD5",'Scored Shortlist'!$P$4:$P$203,0))</f>
        <v>58</v>
      </c>
      <c r="L14" s="20">
        <v>58</v>
      </c>
      <c r="M14" s="16">
        <f t="shared" si="2"/>
        <v>0</v>
      </c>
      <c r="N14" s="15" t="str">
        <f>INDEX('Scored Shortlist'!$J$4:$J$203,MATCH(A14&amp;"|JD5",'Scored Shortlist'!$P$4:$P$203,0))</f>
        <v>Review</v>
      </c>
      <c r="O14" s="15" t="str">
        <f t="shared" si="3"/>
        <v>Review</v>
      </c>
      <c r="P14" s="20">
        <v>12</v>
      </c>
      <c r="Q14" s="20">
        <v>12</v>
      </c>
    </row>
    <row r="15" spans="1:17" x14ac:dyDescent="0.25">
      <c r="A15" s="19" t="s">
        <v>114</v>
      </c>
      <c r="B15" s="19" t="str">
        <f>INDEX(Resumes!$B$2:$B$101,MATCH(A15,Resumes!$A$2:$A$101,0))</f>
        <v>Deepak Desai</v>
      </c>
      <c r="C15" s="19" t="str">
        <f>INDEX(Resumes!$C$2:$C$101,MATCH(A15,Resumes!$A$2:$A$101,0))</f>
        <v>Male</v>
      </c>
      <c r="D15" s="21" t="s">
        <v>860</v>
      </c>
      <c r="E15" s="21" t="s">
        <v>856</v>
      </c>
      <c r="F15" s="15">
        <f>INDEX('Scored Shortlist'!$I$4:$I$203,MATCH(A15&amp;"|JD3",'Scored Shortlist'!$P$4:$P$203,0))</f>
        <v>63</v>
      </c>
      <c r="G15" s="20">
        <v>63</v>
      </c>
      <c r="H15" s="16">
        <f t="shared" si="0"/>
        <v>0</v>
      </c>
      <c r="I15" s="15" t="str">
        <f>INDEX('Scored Shortlist'!$J$4:$J$203,MATCH(A15&amp;"|JD3",'Scored Shortlist'!$P$4:$P$203,0))</f>
        <v>Review</v>
      </c>
      <c r="J15" s="15" t="str">
        <f t="shared" si="1"/>
        <v>Review</v>
      </c>
      <c r="K15" s="15">
        <f>INDEX('Scored Shortlist'!$I$4:$I$203,MATCH(A15&amp;"|JD5",'Scored Shortlist'!$P$4:$P$203,0))</f>
        <v>67</v>
      </c>
      <c r="L15" s="20">
        <v>67</v>
      </c>
      <c r="M15" s="16">
        <f t="shared" si="2"/>
        <v>0</v>
      </c>
      <c r="N15" s="15" t="str">
        <f>INDEX('Scored Shortlist'!$J$4:$J$203,MATCH(A15&amp;"|JD5",'Scored Shortlist'!$P$4:$P$203,0))</f>
        <v>Shortlist</v>
      </c>
      <c r="O15" s="15" t="str">
        <f t="shared" si="3"/>
        <v>Shortlist</v>
      </c>
      <c r="P15" s="20">
        <v>8</v>
      </c>
      <c r="Q15" s="20">
        <v>20</v>
      </c>
    </row>
    <row r="17" spans="1:15" ht="14" x14ac:dyDescent="0.3">
      <c r="A17" s="18" t="s">
        <v>861</v>
      </c>
    </row>
    <row r="18" spans="1:15" ht="15.05" customHeight="1" x14ac:dyDescent="0.25">
      <c r="A18" s="13" t="s">
        <v>862</v>
      </c>
      <c r="B18" s="3" t="s">
        <v>531</v>
      </c>
      <c r="C18" s="3"/>
    </row>
    <row r="19" spans="1:15" ht="64.5" x14ac:dyDescent="0.25">
      <c r="A19" s="14" t="s">
        <v>863</v>
      </c>
      <c r="B19" s="26">
        <f>COUNT(F6:F15)+COUNT(K6:K15)</f>
        <v>20</v>
      </c>
    </row>
    <row r="20" spans="1:15" ht="64.5" x14ac:dyDescent="0.25">
      <c r="A20" s="14" t="s">
        <v>864</v>
      </c>
      <c r="B20" s="28">
        <f>(SUMPRODUCT(ABS(H6:H15))+SUMPRODUCT(ABS(M6:M15)))/B19</f>
        <v>0</v>
      </c>
    </row>
    <row r="21" spans="1:15" ht="64.5" x14ac:dyDescent="0.25">
      <c r="A21" s="14" t="s">
        <v>865</v>
      </c>
      <c r="B21" s="26">
        <f>MAX(MAX(H6:H15),-MIN(H6:H15),MAX(M6:M15),-MIN(M6:M15))</f>
        <v>0</v>
      </c>
    </row>
    <row r="22" spans="1:15" ht="64.5" x14ac:dyDescent="0.25">
      <c r="A22" s="14" t="s">
        <v>866</v>
      </c>
      <c r="B22" s="26">
        <f>SUMPRODUCT(--(I6:I15&lt;&gt;J6:J15))+SUMPRODUCT(--(N6:N15&lt;&gt;O6:O15))</f>
        <v>0</v>
      </c>
    </row>
    <row r="23" spans="1:15" ht="77.400000000000006" x14ac:dyDescent="0.25">
      <c r="A23" s="14" t="s">
        <v>867</v>
      </c>
      <c r="B23" s="29" t="str">
        <f>IF(AND(B22=0,B21&lt;=2),"PASS","FAIL")</f>
        <v>PASS</v>
      </c>
    </row>
    <row r="24" spans="1:15" ht="31.6" customHeight="1" x14ac:dyDescent="0.25">
      <c r="A24" s="2" t="s">
        <v>868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6" spans="1:15" ht="14" x14ac:dyDescent="0.3">
      <c r="A26" s="18" t="s">
        <v>869</v>
      </c>
    </row>
    <row r="27" spans="1:15" ht="23.95" customHeight="1" x14ac:dyDescent="0.25">
      <c r="A27" s="13" t="s">
        <v>75</v>
      </c>
      <c r="B27" s="13" t="s">
        <v>835</v>
      </c>
      <c r="C27" s="3" t="s">
        <v>870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29.95" customHeight="1" x14ac:dyDescent="0.25">
      <c r="A28" s="19" t="s">
        <v>96</v>
      </c>
      <c r="B28" s="21" t="s">
        <v>849</v>
      </c>
      <c r="C28" s="1" t="s">
        <v>871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9.95" customHeight="1" x14ac:dyDescent="0.25">
      <c r="A29" s="19" t="s">
        <v>118</v>
      </c>
      <c r="B29" s="21" t="s">
        <v>851</v>
      </c>
      <c r="C29" s="1" t="s">
        <v>872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9.95" customHeight="1" x14ac:dyDescent="0.25">
      <c r="A30" s="19" t="s">
        <v>145</v>
      </c>
      <c r="B30" s="21" t="s">
        <v>852</v>
      </c>
      <c r="C30" s="1" t="s">
        <v>873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9.95" customHeight="1" x14ac:dyDescent="0.25">
      <c r="A31" s="19" t="s">
        <v>212</v>
      </c>
      <c r="B31" s="21" t="s">
        <v>853</v>
      </c>
      <c r="C31" s="1" t="s">
        <v>874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9.95" customHeight="1" x14ac:dyDescent="0.25">
      <c r="A32" s="19" t="s">
        <v>194</v>
      </c>
      <c r="B32" s="21" t="s">
        <v>854</v>
      </c>
      <c r="C32" s="1" t="s">
        <v>875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9.95" customHeight="1" x14ac:dyDescent="0.25">
      <c r="A33" s="19" t="s">
        <v>101</v>
      </c>
      <c r="B33" s="21" t="s">
        <v>855</v>
      </c>
      <c r="C33" s="1" t="s">
        <v>876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9.95" customHeight="1" x14ac:dyDescent="0.25">
      <c r="A34" s="19" t="s">
        <v>185</v>
      </c>
      <c r="B34" s="21" t="s">
        <v>857</v>
      </c>
      <c r="C34" s="1" t="s">
        <v>877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9.95" customHeight="1" x14ac:dyDescent="0.25">
      <c r="A35" s="19" t="s">
        <v>134</v>
      </c>
      <c r="B35" s="21" t="s">
        <v>858</v>
      </c>
      <c r="C35" s="1" t="s">
        <v>878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9.95" customHeight="1" x14ac:dyDescent="0.25">
      <c r="A36" s="19" t="s">
        <v>111</v>
      </c>
      <c r="B36" s="21" t="s">
        <v>859</v>
      </c>
      <c r="C36" s="1" t="s">
        <v>879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9.95" customHeight="1" x14ac:dyDescent="0.25">
      <c r="A37" s="19" t="s">
        <v>114</v>
      </c>
      <c r="B37" s="21" t="s">
        <v>860</v>
      </c>
      <c r="C37" s="1" t="s">
        <v>880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</sheetData>
  <mergeCells count="13">
    <mergeCell ref="C35:O35"/>
    <mergeCell ref="C36:O36"/>
    <mergeCell ref="C37:O37"/>
    <mergeCell ref="C30:O30"/>
    <mergeCell ref="C31:O31"/>
    <mergeCell ref="C32:O32"/>
    <mergeCell ref="C33:O33"/>
    <mergeCell ref="C34:O34"/>
    <mergeCell ref="B18:C18"/>
    <mergeCell ref="A24:O24"/>
    <mergeCell ref="C27:O27"/>
    <mergeCell ref="C28:O28"/>
    <mergeCell ref="C29:O2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45"/>
  <sheetViews>
    <sheetView zoomScaleNormal="100" workbookViewId="0"/>
  </sheetViews>
  <sheetFormatPr defaultColWidth="8.6328125" defaultRowHeight="12.9" x14ac:dyDescent="0.25"/>
  <cols>
    <col min="1" max="1" width="30" customWidth="1"/>
    <col min="2" max="11" width="12" customWidth="1"/>
    <col min="12" max="12" width="16" customWidth="1"/>
    <col min="13" max="13" width="10" customWidth="1"/>
  </cols>
  <sheetData>
    <row r="1" spans="1:7" ht="17.75" x14ac:dyDescent="0.35">
      <c r="A1" s="4" t="s">
        <v>881</v>
      </c>
    </row>
    <row r="2" spans="1:7" ht="13.45" x14ac:dyDescent="0.3">
      <c r="A2" s="12" t="s">
        <v>882</v>
      </c>
    </row>
    <row r="4" spans="1:7" ht="14" x14ac:dyDescent="0.3">
      <c r="A4" s="18" t="s">
        <v>883</v>
      </c>
    </row>
    <row r="5" spans="1:7" ht="25.8" x14ac:dyDescent="0.25">
      <c r="A5" s="13" t="s">
        <v>862</v>
      </c>
      <c r="B5" s="13" t="s">
        <v>884</v>
      </c>
      <c r="C5" s="13" t="s">
        <v>885</v>
      </c>
      <c r="D5" s="13" t="s">
        <v>886</v>
      </c>
      <c r="E5" s="13" t="s">
        <v>887</v>
      </c>
      <c r="F5" s="13" t="s">
        <v>888</v>
      </c>
      <c r="G5" s="13" t="s">
        <v>889</v>
      </c>
    </row>
    <row r="6" spans="1:7" x14ac:dyDescent="0.25">
      <c r="A6" s="14" t="s">
        <v>890</v>
      </c>
      <c r="B6" s="30">
        <f>COUNTIFS($B$46:$B$245,"JD3",$C$46:$C$245,"Female")</f>
        <v>52</v>
      </c>
      <c r="C6" s="30">
        <f>COUNTIFS($B$46:$B$245,"JD3",$C$46:$C$245,"Male")</f>
        <v>48</v>
      </c>
      <c r="D6" s="15"/>
      <c r="E6" s="30">
        <f>COUNTIFS($B$46:$B$245,"JD5",$C$46:$C$245,"Female")</f>
        <v>52</v>
      </c>
      <c r="F6" s="30">
        <f>COUNTIFS($B$46:$B$245,"JD5",$C$46:$C$245,"Male")</f>
        <v>48</v>
      </c>
      <c r="G6" s="15"/>
    </row>
    <row r="7" spans="1:7" x14ac:dyDescent="0.25">
      <c r="A7" s="14" t="s">
        <v>891</v>
      </c>
      <c r="B7" s="31">
        <f>AVERAGEIFS($F$46:$F$245,$B$46:$B$245,"JD3",$C$46:$C$245,"Female")</f>
        <v>44.942307692307693</v>
      </c>
      <c r="C7" s="31">
        <f>AVERAGEIFS($F$46:$F$245,$B$46:$B$245,"JD3",$C$46:$C$245,"Male")</f>
        <v>44.958333333333336</v>
      </c>
      <c r="D7" s="15"/>
      <c r="E7" s="31">
        <f>AVERAGEIFS($F$46:$F$245,$B$46:$B$245,"JD5",$C$46:$C$245,"Female")</f>
        <v>43.192307692307693</v>
      </c>
      <c r="F7" s="31">
        <f>AVERAGEIFS($F$46:$F$245,$B$46:$B$245,"JD5",$C$46:$C$245,"Male")</f>
        <v>43.125</v>
      </c>
      <c r="G7" s="15"/>
    </row>
    <row r="8" spans="1:7" x14ac:dyDescent="0.25">
      <c r="A8" s="14" t="s">
        <v>892</v>
      </c>
      <c r="B8" s="30">
        <f>COUNTIFS($B$46:$B$245,"JD3",$C$46:$C$245,"Female",$H$46:$H$245,"Shortlist")</f>
        <v>4</v>
      </c>
      <c r="C8" s="30">
        <f>COUNTIFS($B$46:$B$245,"JD3",$C$46:$C$245,"Male",$H$46:$H$245,"Shortlist")</f>
        <v>3</v>
      </c>
      <c r="D8" s="15"/>
      <c r="E8" s="30">
        <f>COUNTIFS($B$46:$B$245,"JD5",$C$46:$C$245,"Female",$H$46:$H$245,"Shortlist")</f>
        <v>2</v>
      </c>
      <c r="F8" s="30">
        <f>COUNTIFS($B$46:$B$245,"JD5",$C$46:$C$245,"Male",$H$46:$H$245,"Shortlist")</f>
        <v>5</v>
      </c>
      <c r="G8" s="15"/>
    </row>
    <row r="9" spans="1:7" x14ac:dyDescent="0.25">
      <c r="A9" s="14" t="s">
        <v>893</v>
      </c>
      <c r="B9" s="32">
        <f>B8/B6</f>
        <v>7.6923076923076927E-2</v>
      </c>
      <c r="C9" s="32">
        <f>C8/C6</f>
        <v>6.25E-2</v>
      </c>
      <c r="D9" s="28">
        <f>IF(MAX(B9,C9)=0,"n/a",MIN(B9,C9)/MAX(B9,C9))</f>
        <v>0.8125</v>
      </c>
      <c r="E9" s="32">
        <f>E8/E6</f>
        <v>3.8461538461538464E-2</v>
      </c>
      <c r="F9" s="32">
        <f>F8/F6</f>
        <v>0.10416666666666667</v>
      </c>
      <c r="G9" s="28">
        <f>IF(MAX(E9,F9)=0,"n/a",MIN(E9,F9)/MAX(E9,F9))</f>
        <v>0.36923076923076925</v>
      </c>
    </row>
    <row r="10" spans="1:7" x14ac:dyDescent="0.25">
      <c r="A10" s="14" t="s">
        <v>894</v>
      </c>
      <c r="B10" s="30">
        <f>COUNTIFS($B$46:$B$245,"JD3",$C$46:$C$245,"Female",$H$46:$H$245,"&lt;&gt;Not shortlisted")</f>
        <v>10</v>
      </c>
      <c r="C10" s="30">
        <f>COUNTIFS($B$46:$B$245,"JD3",$C$46:$C$245,"Male",$H$46:$H$245,"&lt;&gt;Not shortlisted")</f>
        <v>9</v>
      </c>
      <c r="D10" s="15"/>
      <c r="E10" s="30">
        <f>COUNTIFS($B$46:$B$245,"JD5",$C$46:$C$245,"Female",$H$46:$H$245,"&lt;&gt;Not shortlisted")</f>
        <v>9</v>
      </c>
      <c r="F10" s="30">
        <f>COUNTIFS($B$46:$B$245,"JD5",$C$46:$C$245,"Male",$H$46:$H$245,"&lt;&gt;Not shortlisted")</f>
        <v>9</v>
      </c>
      <c r="G10" s="15"/>
    </row>
    <row r="11" spans="1:7" x14ac:dyDescent="0.25">
      <c r="A11" s="14" t="s">
        <v>895</v>
      </c>
      <c r="B11" s="32">
        <f>B10/B6</f>
        <v>0.19230769230769232</v>
      </c>
      <c r="C11" s="32">
        <f>C10/C6</f>
        <v>0.1875</v>
      </c>
      <c r="D11" s="28">
        <f>IF(MAX(B11,C11)=0,"n/a",MIN(B11,C11)/MAX(B11,C11))</f>
        <v>0.97499999999999998</v>
      </c>
      <c r="E11" s="32">
        <f>E10/E6</f>
        <v>0.17307692307692307</v>
      </c>
      <c r="F11" s="32">
        <f>F10/F6</f>
        <v>0.1875</v>
      </c>
      <c r="G11" s="28">
        <f>IF(MAX(E11,F11)=0,"n/a",MIN(E11,F11)/MAX(E11,F11))</f>
        <v>0.92307692307692302</v>
      </c>
    </row>
    <row r="12" spans="1:7" ht="42.05" customHeight="1" x14ac:dyDescent="0.25">
      <c r="A12" s="2" t="s">
        <v>896</v>
      </c>
      <c r="B12" s="2"/>
      <c r="C12" s="2"/>
      <c r="D12" s="2"/>
      <c r="E12" s="2"/>
      <c r="F12" s="2"/>
      <c r="G12" s="2"/>
    </row>
    <row r="14" spans="1:7" ht="14" x14ac:dyDescent="0.3">
      <c r="A14" s="18" t="s">
        <v>897</v>
      </c>
    </row>
    <row r="15" spans="1:7" x14ac:dyDescent="0.25">
      <c r="A15" s="13" t="s">
        <v>898</v>
      </c>
      <c r="B15" s="13" t="s">
        <v>594</v>
      </c>
    </row>
    <row r="16" spans="1:7" x14ac:dyDescent="0.25">
      <c r="A16" s="19" t="s">
        <v>899</v>
      </c>
      <c r="B16" s="22">
        <v>5</v>
      </c>
    </row>
    <row r="17" spans="1:6" x14ac:dyDescent="0.25">
      <c r="A17" s="19" t="s">
        <v>900</v>
      </c>
      <c r="B17" s="22">
        <v>-5</v>
      </c>
    </row>
    <row r="18" spans="1:6" x14ac:dyDescent="0.25">
      <c r="A18" s="19" t="s">
        <v>901</v>
      </c>
      <c r="B18" s="22">
        <v>-5</v>
      </c>
    </row>
    <row r="20" spans="1:6" ht="25.8" x14ac:dyDescent="0.25">
      <c r="A20" s="14" t="s">
        <v>902</v>
      </c>
      <c r="B20" s="16">
        <f>SUM($M$46:$M$245)</f>
        <v>23</v>
      </c>
    </row>
    <row r="22" spans="1:6" ht="25.8" x14ac:dyDescent="0.25">
      <c r="A22" s="13" t="s">
        <v>903</v>
      </c>
      <c r="B22" s="13" t="s">
        <v>904</v>
      </c>
      <c r="C22" s="13" t="s">
        <v>905</v>
      </c>
      <c r="D22" s="13" t="s">
        <v>906</v>
      </c>
      <c r="E22" s="13" t="s">
        <v>907</v>
      </c>
      <c r="F22" s="13" t="s">
        <v>890</v>
      </c>
    </row>
    <row r="23" spans="1:6" x14ac:dyDescent="0.25">
      <c r="A23" s="19" t="s">
        <v>856</v>
      </c>
      <c r="B23" s="32">
        <f>COUNTIFS($B$46:$B$245,"JD3",$C$46:$C$245,"Female",$H$46:$H$245,"Shortlist")/COUNTIFS($B$46:$B$245,"JD3",$C$46:$C$245,"Female")</f>
        <v>7.6923076923076927E-2</v>
      </c>
      <c r="C23" s="32">
        <f>COUNTIFS($B$46:$B$245,"JD3",$C$46:$C$245,"Female",$L$46:$L$245,"Shortlist")/COUNTIFS($B$46:$B$245,"JD3",$C$46:$C$245,"Female")</f>
        <v>3.8461538461538464E-2</v>
      </c>
      <c r="D23" s="32">
        <f>COUNTIFS($B$46:$B$245,"JD5",$C$46:$C$245,"Female",$H$46:$H$245,"Shortlist")/COUNTIFS($B$46:$B$245,"JD5",$C$46:$C$245,"Female")</f>
        <v>3.8461538461538464E-2</v>
      </c>
      <c r="E23" s="32">
        <f>COUNTIFS($B$46:$B$245,"JD5",$C$46:$C$245,"Female",$L$46:$L$245,"Shortlist")/COUNTIFS($B$46:$B$245,"JD5",$C$46:$C$245,"Female")</f>
        <v>5.7692307692307696E-2</v>
      </c>
      <c r="F23" s="15">
        <f>COUNTIFS($B$46:$B$245,"JD3",$C$46:$C$245,"Female")</f>
        <v>52</v>
      </c>
    </row>
    <row r="24" spans="1:6" x14ac:dyDescent="0.25">
      <c r="A24" s="19" t="s">
        <v>850</v>
      </c>
      <c r="B24" s="32">
        <f>COUNTIFS($B$46:$B$245,"JD3",$C$46:$C$245,"Male",$H$46:$H$245,"Shortlist")/COUNTIFS($B$46:$B$245,"JD3",$C$46:$C$245,"Male")</f>
        <v>6.25E-2</v>
      </c>
      <c r="C24" s="32">
        <f>COUNTIFS($B$46:$B$245,"JD3",$C$46:$C$245,"Male",$L$46:$L$245,"Shortlist")/COUNTIFS($B$46:$B$245,"JD3",$C$46:$C$245,"Male")</f>
        <v>6.25E-2</v>
      </c>
      <c r="D24" s="32">
        <f>COUNTIFS($B$46:$B$245,"JD5",$C$46:$C$245,"Male",$H$46:$H$245,"Shortlist")/COUNTIFS($B$46:$B$245,"JD5",$C$46:$C$245,"Male")</f>
        <v>0.10416666666666667</v>
      </c>
      <c r="E24" s="32">
        <f>COUNTIFS($B$46:$B$245,"JD5",$C$46:$C$245,"Male",$L$46:$L$245,"Shortlist")/COUNTIFS($B$46:$B$245,"JD5",$C$46:$C$245,"Male")</f>
        <v>8.3333333333333329E-2</v>
      </c>
      <c r="F24" s="15">
        <f>COUNTIFS($B$46:$B$245,"JD3",$C$46:$C$245,"Male")</f>
        <v>48</v>
      </c>
    </row>
    <row r="25" spans="1:6" x14ac:dyDescent="0.25">
      <c r="A25" s="19" t="s">
        <v>899</v>
      </c>
      <c r="B25" s="32">
        <f>COUNTIFS($B$46:$B$245,"JD3",$D$46:$D$245,"Tier-1 institute",$H$46:$H$245,"Shortlist")/COUNTIFS($B$46:$B$245,"JD3",$D$46:$D$245,"Tier-1 institute")</f>
        <v>0</v>
      </c>
      <c r="C25" s="32">
        <f>COUNTIFS($B$46:$B$245,"JD3",$D$46:$D$245,"Tier-1 institute",$L$46:$L$245,"Shortlist")/COUNTIFS($B$46:$B$245,"JD3",$D$46:$D$245,"Tier-1 institute")</f>
        <v>6.25E-2</v>
      </c>
      <c r="D25" s="32">
        <f>COUNTIFS($B$46:$B$245,"JD5",$D$46:$D$245,"Tier-1 institute",$H$46:$H$245,"Shortlist")/COUNTIFS($B$46:$B$245,"JD5",$D$46:$D$245,"Tier-1 institute")</f>
        <v>6.25E-2</v>
      </c>
      <c r="E25" s="32">
        <f>COUNTIFS($B$46:$B$245,"JD5",$D$46:$D$245,"Tier-1 institute",$L$46:$L$245,"Shortlist")/COUNTIFS($B$46:$B$245,"JD5",$D$46:$D$245,"Tier-1 institute")</f>
        <v>0.125</v>
      </c>
      <c r="F25" s="15">
        <f>COUNTIFS($B$46:$B$245,"JD3",$D$46:$D$245,"Tier-1 institute")</f>
        <v>16</v>
      </c>
    </row>
    <row r="26" spans="1:6" x14ac:dyDescent="0.25">
      <c r="A26" s="19" t="s">
        <v>908</v>
      </c>
      <c r="B26" s="32">
        <f>COUNTIFS($B$46:$B$245,"JD3",$D$46:$D$245,"Tier-2 institute",$H$46:$H$245,"Shortlist")/COUNTIFS($B$46:$B$245,"JD3",$D$46:$D$245,"Tier-2 institute")</f>
        <v>0.04</v>
      </c>
      <c r="C26" s="32">
        <f>COUNTIFS($B$46:$B$245,"JD3",$D$46:$D$245,"Tier-2 institute",$L$46:$L$245,"Shortlist")/COUNTIFS($B$46:$B$245,"JD3",$D$46:$D$245,"Tier-2 institute")</f>
        <v>0.02</v>
      </c>
      <c r="D26" s="32">
        <f>COUNTIFS($B$46:$B$245,"JD5",$D$46:$D$245,"Tier-2 institute",$H$46:$H$245,"Shortlist")/COUNTIFS($B$46:$B$245,"JD5",$D$46:$D$245,"Tier-2 institute")</f>
        <v>0.04</v>
      </c>
      <c r="E26" s="32">
        <f>COUNTIFS($B$46:$B$245,"JD5",$D$46:$D$245,"Tier-2 institute",$L$46:$L$245,"Shortlist")/COUNTIFS($B$46:$B$245,"JD5",$D$46:$D$245,"Tier-2 institute")</f>
        <v>0.04</v>
      </c>
      <c r="F26" s="15">
        <f>COUNTIFS($B$46:$B$245,"JD3",$D$46:$D$245,"Tier-2 institute")</f>
        <v>50</v>
      </c>
    </row>
    <row r="27" spans="1:6" x14ac:dyDescent="0.25">
      <c r="A27" s="19" t="s">
        <v>900</v>
      </c>
      <c r="B27" s="32">
        <f>COUNTIFS($B$46:$B$245,"JD3",$D$46:$D$245,"Tier-3 institute",$H$46:$H$245,"Shortlist")/COUNTIFS($B$46:$B$245,"JD3",$D$46:$D$245,"Tier-3 institute")</f>
        <v>0.14705882352941177</v>
      </c>
      <c r="C27" s="32">
        <f>COUNTIFS($B$46:$B$245,"JD3",$D$46:$D$245,"Tier-3 institute",$L$46:$L$245,"Shortlist")/COUNTIFS($B$46:$B$245,"JD3",$D$46:$D$245,"Tier-3 institute")</f>
        <v>8.8235294117647065E-2</v>
      </c>
      <c r="D27" s="32">
        <f>COUNTIFS($B$46:$B$245,"JD5",$D$46:$D$245,"Tier-3 institute",$H$46:$H$245,"Shortlist")/COUNTIFS($B$46:$B$245,"JD5",$D$46:$D$245,"Tier-3 institute")</f>
        <v>0.11764705882352941</v>
      </c>
      <c r="E27" s="32">
        <f>COUNTIFS($B$46:$B$245,"JD5",$D$46:$D$245,"Tier-3 institute",$L$46:$L$245,"Shortlist")/COUNTIFS($B$46:$B$245,"JD5",$D$46:$D$245,"Tier-3 institute")</f>
        <v>8.8235294117647065E-2</v>
      </c>
      <c r="F27" s="15">
        <f>COUNTIFS($B$46:$B$245,"JD3",$D$46:$D$245,"Tier-3 institute")</f>
        <v>34</v>
      </c>
    </row>
    <row r="28" spans="1:6" x14ac:dyDescent="0.25">
      <c r="A28" s="19" t="s">
        <v>909</v>
      </c>
      <c r="B28" s="32">
        <f>COUNTIFS($B$46:$B$245,"JD3",$E$46:$E$245,"None",$H$46:$H$245,"Shortlist")/COUNTIFS($B$46:$B$245,"JD3",$E$46:$E$245,"None")</f>
        <v>4.4776119402985072E-2</v>
      </c>
      <c r="C28" s="32">
        <f>COUNTIFS($B$46:$B$245,"JD3",$E$46:$E$245,"None",$L$46:$L$245,"Shortlist")/COUNTIFS($B$46:$B$245,"JD3",$E$46:$E$245,"None")</f>
        <v>4.4776119402985072E-2</v>
      </c>
      <c r="D28" s="32">
        <f>COUNTIFS($B$46:$B$245,"JD5",$E$46:$E$245,"None",$H$46:$H$245,"Shortlist")/COUNTIFS($B$46:$B$245,"JD5",$E$46:$E$245,"None")</f>
        <v>8.9552238805970144E-2</v>
      </c>
      <c r="E28" s="32">
        <f>COUNTIFS($B$46:$B$245,"JD5",$E$46:$E$245,"None",$L$46:$L$245,"Shortlist")/COUNTIFS($B$46:$B$245,"JD5",$E$46:$E$245,"None")</f>
        <v>8.9552238805970144E-2</v>
      </c>
      <c r="F28" s="15">
        <f>COUNTIFS($B$46:$B$245,"JD3",$E$46:$E$245,"None")</f>
        <v>67</v>
      </c>
    </row>
    <row r="29" spans="1:6" ht="25.8" x14ac:dyDescent="0.25">
      <c r="A29" s="19" t="s">
        <v>910</v>
      </c>
      <c r="B29" s="32">
        <f>COUNTIFS($B$46:$B$245,"JD3",$E$46:$E$245,"6-month gap (exam preparation)",$H$46:$H$245,"Shortlist")/COUNTIFS($B$46:$B$245,"JD3",$E$46:$E$245,"6-month gap (exam preparation)")</f>
        <v>0.11764705882352941</v>
      </c>
      <c r="C29" s="32">
        <f>COUNTIFS($B$46:$B$245,"JD3",$E$46:$E$245,"6-month gap (exam preparation)",$L$46:$L$245,"Shortlist")/COUNTIFS($B$46:$B$245,"JD3",$E$46:$E$245,"6-month gap (exam preparation)")</f>
        <v>0</v>
      </c>
      <c r="D29" s="32">
        <f>COUNTIFS($B$46:$B$245,"JD5",$E$46:$E$245,"6-month gap (exam preparation)",$H$46:$H$245,"Shortlist")/COUNTIFS($B$46:$B$245,"JD5",$E$46:$E$245,"6-month gap (exam preparation)")</f>
        <v>5.8823529411764705E-2</v>
      </c>
      <c r="E29" s="32">
        <f>COUNTIFS($B$46:$B$245,"JD5",$E$46:$E$245,"6-month gap (exam preparation)",$L$46:$L$245,"Shortlist")/COUNTIFS($B$46:$B$245,"JD5",$E$46:$E$245,"6-month gap (exam preparation)")</f>
        <v>5.8823529411764705E-2</v>
      </c>
      <c r="F29" s="15">
        <f>COUNTIFS($B$46:$B$245,"JD3",$E$46:$E$245,"6-month gap (exam preparation)")</f>
        <v>17</v>
      </c>
    </row>
    <row r="30" spans="1:6" ht="25.8" x14ac:dyDescent="0.25">
      <c r="A30" s="19" t="s">
        <v>911</v>
      </c>
      <c r="B30" s="32">
        <f>COUNTIFS($B$46:$B$245,"JD3",$E$46:$E$245,"1-year career break (family)",$H$46:$H$245,"Shortlist")/COUNTIFS($B$46:$B$245,"JD3",$E$46:$E$245,"1-year career break (family)")</f>
        <v>0.125</v>
      </c>
      <c r="C30" s="32">
        <f>COUNTIFS($B$46:$B$245,"JD3",$E$46:$E$245,"1-year career break (family)",$L$46:$L$245,"Shortlist")/COUNTIFS($B$46:$B$245,"JD3",$E$46:$E$245,"1-year career break (family)")</f>
        <v>0.125</v>
      </c>
      <c r="D30" s="32">
        <f>COUNTIFS($B$46:$B$245,"JD5",$E$46:$E$245,"1-year career break (family)",$H$46:$H$245,"Shortlist")/COUNTIFS($B$46:$B$245,"JD5",$E$46:$E$245,"1-year career break (family)")</f>
        <v>0</v>
      </c>
      <c r="E30" s="32">
        <f>COUNTIFS($B$46:$B$245,"JD5",$E$46:$E$245,"1-year career break (family)",$L$46:$L$245,"Shortlist")/COUNTIFS($B$46:$B$245,"JD5",$E$46:$E$245,"1-year career break (family)")</f>
        <v>0</v>
      </c>
      <c r="F30" s="15">
        <f>COUNTIFS($B$46:$B$245,"JD3",$E$46:$E$245,"1-year career break (family)")</f>
        <v>16</v>
      </c>
    </row>
    <row r="31" spans="1:6" x14ac:dyDescent="0.25">
      <c r="A31" s="14" t="s">
        <v>912</v>
      </c>
      <c r="B31" s="28">
        <f>IF(MAX(B23,B24)=0,"n/a",MIN(B23,B24)/MAX(B23,B24))</f>
        <v>0.8125</v>
      </c>
      <c r="C31" s="28">
        <f>IF(MAX(C23,C24)=0,"n/a",MIN(C23,C24)/MAX(C23,C24))</f>
        <v>0.61538461538461542</v>
      </c>
      <c r="D31" s="28">
        <f>IF(MAX(D23,D24)=0,"n/a",MIN(D23,D24)/MAX(D23,D24))</f>
        <v>0.36923076923076925</v>
      </c>
      <c r="E31" s="28">
        <f>IF(MAX(E23,E24)=0,"n/a",MIN(E23,E24)/MAX(E23,E24))</f>
        <v>0.6923076923076924</v>
      </c>
    </row>
    <row r="33" spans="1:13" x14ac:dyDescent="0.25">
      <c r="A33" s="13" t="s">
        <v>913</v>
      </c>
      <c r="B33" s="13" t="s">
        <v>914</v>
      </c>
      <c r="C33" s="13" t="s">
        <v>915</v>
      </c>
      <c r="D33" s="13" t="s">
        <v>916</v>
      </c>
      <c r="E33" s="13" t="s">
        <v>917</v>
      </c>
    </row>
    <row r="34" spans="1:13" x14ac:dyDescent="0.25">
      <c r="A34" s="19" t="s">
        <v>67</v>
      </c>
      <c r="B34" s="15">
        <f>COUNTIFS($B$46:$B$245,"JD3",$H$46:$H$245,"Shortlist")</f>
        <v>7</v>
      </c>
      <c r="C34" s="15">
        <f>COUNTIFS($B$46:$B$245,"JD3",$L$46:$L$245,"Shortlist")</f>
        <v>5</v>
      </c>
      <c r="D34" s="15">
        <f>COUNTIFS($B$46:$B$245,"JD5",$H$46:$H$245,"Shortlist")</f>
        <v>7</v>
      </c>
      <c r="E34" s="15">
        <f>COUNTIFS($B$46:$B$245,"JD5",$L$46:$L$245,"Shortlist")</f>
        <v>7</v>
      </c>
    </row>
    <row r="35" spans="1:13" x14ac:dyDescent="0.25">
      <c r="A35" s="19" t="s">
        <v>68</v>
      </c>
      <c r="B35" s="15">
        <f>COUNTIFS($B$46:$B$245,"JD3",$H$46:$H$245,"Review")</f>
        <v>12</v>
      </c>
      <c r="C35" s="15">
        <f>COUNTIFS($B$46:$B$245,"JD3",$L$46:$L$245,"Review")</f>
        <v>14</v>
      </c>
      <c r="D35" s="15">
        <f>COUNTIFS($B$46:$B$245,"JD5",$H$46:$H$245,"Review")</f>
        <v>11</v>
      </c>
      <c r="E35" s="15">
        <f>COUNTIFS($B$46:$B$245,"JD5",$L$46:$L$245,"Review")</f>
        <v>4</v>
      </c>
    </row>
    <row r="36" spans="1:13" x14ac:dyDescent="0.25">
      <c r="A36" s="19" t="s">
        <v>69</v>
      </c>
      <c r="B36" s="15">
        <f>COUNTIFS($B$46:$B$245,"JD3",$H$46:$H$245,"Not shortlisted")</f>
        <v>81</v>
      </c>
      <c r="C36" s="15">
        <f>COUNTIFS($B$46:$B$245,"JD3",$L$46:$L$245,"Not shortlisted")</f>
        <v>81</v>
      </c>
      <c r="D36" s="15">
        <f>COUNTIFS($B$46:$B$245,"JD5",$H$46:$H$245,"Not shortlisted")</f>
        <v>82</v>
      </c>
      <c r="E36" s="15">
        <f>COUNTIFS($B$46:$B$245,"JD5",$L$46:$L$245,"Not shortlisted")</f>
        <v>89</v>
      </c>
    </row>
    <row r="44" spans="1:13" ht="14" x14ac:dyDescent="0.3">
      <c r="A44" s="18" t="s">
        <v>918</v>
      </c>
    </row>
    <row r="45" spans="1:13" ht="25.8" x14ac:dyDescent="0.25">
      <c r="A45" s="13" t="s">
        <v>75</v>
      </c>
      <c r="B45" s="13" t="s">
        <v>83</v>
      </c>
      <c r="C45" s="13" t="s">
        <v>919</v>
      </c>
      <c r="D45" s="13" t="s">
        <v>920</v>
      </c>
      <c r="E45" s="13" t="s">
        <v>921</v>
      </c>
      <c r="F45" s="13" t="s">
        <v>922</v>
      </c>
      <c r="G45" s="13" t="s">
        <v>923</v>
      </c>
      <c r="H45" s="13" t="s">
        <v>924</v>
      </c>
      <c r="I45" s="13" t="s">
        <v>925</v>
      </c>
      <c r="J45" s="13" t="s">
        <v>926</v>
      </c>
      <c r="K45" s="13" t="s">
        <v>927</v>
      </c>
      <c r="L45" s="13" t="s">
        <v>928</v>
      </c>
      <c r="M45" s="13" t="s">
        <v>929</v>
      </c>
    </row>
    <row r="46" spans="1:13" x14ac:dyDescent="0.25">
      <c r="A46" s="24" t="str">
        <f>'Scored Shortlist'!A4</f>
        <v>CV051</v>
      </c>
      <c r="B46" s="24" t="str">
        <f>'Scored Shortlist'!C4</f>
        <v>JD3</v>
      </c>
      <c r="C46" s="24" t="str">
        <f>INDEX(Resumes!$C$2:$C$101,MATCH(A46,Resumes!$A$2:$A$101,0))</f>
        <v>Female</v>
      </c>
      <c r="D46" s="24" t="str">
        <f>INDEX(Resumes!$F$2:$F$101,MATCH(A46,Resumes!$A$2:$A$101,0))</f>
        <v>Tier-3 institute</v>
      </c>
      <c r="E46" s="24" t="str">
        <f>INDEX(Resumes!$H$2:$H$101,MATCH(A46,Resumes!$A$2:$A$101,0))</f>
        <v>1-year career break (family)</v>
      </c>
      <c r="F46" s="24">
        <f>'Scored Shortlist'!I4</f>
        <v>73</v>
      </c>
      <c r="G46" s="24">
        <f>'Scored Shortlist'!G4</f>
        <v>20</v>
      </c>
      <c r="H46" s="24" t="str">
        <f>'Scored Shortlist'!J4</f>
        <v>Shortlist</v>
      </c>
      <c r="I46" s="24">
        <f t="shared" ref="I46:I77" si="0">IF(D46="Tier-1 institute",$B$16,IF(D46="Tier-3 institute",$B$17,0))</f>
        <v>-5</v>
      </c>
      <c r="J46" s="24">
        <f t="shared" ref="J46:J77" si="1">IF(E46="None",0,$B$18)</f>
        <v>-5</v>
      </c>
      <c r="K46" s="24">
        <f t="shared" ref="K46:K77" si="2">F46+I46+J46</f>
        <v>63</v>
      </c>
      <c r="L46" s="24" t="str">
        <f t="shared" ref="L46:L77" si="3">IF(AND(K46&gt;=SL_CUT,G46&gt;=SL_SKILL),"Shortlist",IF(AND(K46&gt;=RV_CUT,G46&gt;=RV_SKILL),"Review","Not shortlisted"))</f>
        <v>Shortlist</v>
      </c>
      <c r="M46" s="24">
        <f t="shared" ref="M46:M77" si="4">IF(H46&lt;&gt;L46,1,0)</f>
        <v>0</v>
      </c>
    </row>
    <row r="47" spans="1:13" x14ac:dyDescent="0.25">
      <c r="A47" s="24" t="str">
        <f>'Scored Shortlist'!A5</f>
        <v>CV019</v>
      </c>
      <c r="B47" s="24" t="str">
        <f>'Scored Shortlist'!C5</f>
        <v>JD3</v>
      </c>
      <c r="C47" s="24" t="str">
        <f>INDEX(Resumes!$C$2:$C$101,MATCH(A47,Resumes!$A$2:$A$101,0))</f>
        <v>Male</v>
      </c>
      <c r="D47" s="24" t="str">
        <f>INDEX(Resumes!$F$2:$F$101,MATCH(A47,Resumes!$A$2:$A$101,0))</f>
        <v>Tier-3 institute</v>
      </c>
      <c r="E47" s="24" t="str">
        <f>INDEX(Resumes!$H$2:$H$101,MATCH(A47,Resumes!$A$2:$A$101,0))</f>
        <v>None</v>
      </c>
      <c r="F47" s="24">
        <f>'Scored Shortlist'!I5</f>
        <v>72</v>
      </c>
      <c r="G47" s="24">
        <f>'Scored Shortlist'!G5</f>
        <v>12</v>
      </c>
      <c r="H47" s="24" t="str">
        <f>'Scored Shortlist'!J5</f>
        <v>Shortlist</v>
      </c>
      <c r="I47" s="24">
        <f t="shared" si="0"/>
        <v>-5</v>
      </c>
      <c r="J47" s="24">
        <f t="shared" si="1"/>
        <v>0</v>
      </c>
      <c r="K47" s="24">
        <f t="shared" si="2"/>
        <v>67</v>
      </c>
      <c r="L47" s="24" t="str">
        <f t="shared" si="3"/>
        <v>Shortlist</v>
      </c>
      <c r="M47" s="24">
        <f t="shared" si="4"/>
        <v>0</v>
      </c>
    </row>
    <row r="48" spans="1:13" x14ac:dyDescent="0.25">
      <c r="A48" s="24" t="str">
        <f>'Scored Shortlist'!A6</f>
        <v>CV025</v>
      </c>
      <c r="B48" s="24" t="str">
        <f>'Scored Shortlist'!C6</f>
        <v>JD3</v>
      </c>
      <c r="C48" s="24" t="str">
        <f>INDEX(Resumes!$C$2:$C$101,MATCH(A48,Resumes!$A$2:$A$101,0))</f>
        <v>Female</v>
      </c>
      <c r="D48" s="24" t="str">
        <f>INDEX(Resumes!$F$2:$F$101,MATCH(A48,Resumes!$A$2:$A$101,0))</f>
        <v>Tier-3 institute</v>
      </c>
      <c r="E48" s="24" t="str">
        <f>INDEX(Resumes!$H$2:$H$101,MATCH(A48,Resumes!$A$2:$A$101,0))</f>
        <v>6-month gap (exam preparation)</v>
      </c>
      <c r="F48" s="24">
        <f>'Scored Shortlist'!I6</f>
        <v>68</v>
      </c>
      <c r="G48" s="24">
        <f>'Scored Shortlist'!G6</f>
        <v>20</v>
      </c>
      <c r="H48" s="24" t="str">
        <f>'Scored Shortlist'!J6</f>
        <v>Shortlist</v>
      </c>
      <c r="I48" s="24">
        <f t="shared" si="0"/>
        <v>-5</v>
      </c>
      <c r="J48" s="24">
        <f t="shared" si="1"/>
        <v>-5</v>
      </c>
      <c r="K48" s="24">
        <f t="shared" si="2"/>
        <v>58</v>
      </c>
      <c r="L48" s="24" t="str">
        <f t="shared" si="3"/>
        <v>Review</v>
      </c>
      <c r="M48" s="24">
        <f t="shared" si="4"/>
        <v>1</v>
      </c>
    </row>
    <row r="49" spans="1:13" x14ac:dyDescent="0.25">
      <c r="A49" s="24" t="str">
        <f>'Scored Shortlist'!A7</f>
        <v>CV055</v>
      </c>
      <c r="B49" s="24" t="str">
        <f>'Scored Shortlist'!C7</f>
        <v>JD3</v>
      </c>
      <c r="C49" s="24" t="str">
        <f>INDEX(Resumes!$C$2:$C$101,MATCH(A49,Resumes!$A$2:$A$101,0))</f>
        <v>Male</v>
      </c>
      <c r="D49" s="24" t="str">
        <f>INDEX(Resumes!$F$2:$F$101,MATCH(A49,Resumes!$A$2:$A$101,0))</f>
        <v>Tier-3 institute</v>
      </c>
      <c r="E49" s="24" t="str">
        <f>INDEX(Resumes!$H$2:$H$101,MATCH(A49,Resumes!$A$2:$A$101,0))</f>
        <v>None</v>
      </c>
      <c r="F49" s="24">
        <f>'Scored Shortlist'!I7</f>
        <v>67</v>
      </c>
      <c r="G49" s="24">
        <f>'Scored Shortlist'!G7</f>
        <v>20</v>
      </c>
      <c r="H49" s="24" t="str">
        <f>'Scored Shortlist'!J7</f>
        <v>Shortlist</v>
      </c>
      <c r="I49" s="24">
        <f t="shared" si="0"/>
        <v>-5</v>
      </c>
      <c r="J49" s="24">
        <f t="shared" si="1"/>
        <v>0</v>
      </c>
      <c r="K49" s="24">
        <f t="shared" si="2"/>
        <v>62</v>
      </c>
      <c r="L49" s="24" t="str">
        <f t="shared" si="3"/>
        <v>Shortlist</v>
      </c>
      <c r="M49" s="24">
        <f t="shared" si="4"/>
        <v>0</v>
      </c>
    </row>
    <row r="50" spans="1:13" x14ac:dyDescent="0.25">
      <c r="A50" s="24" t="str">
        <f>'Scored Shortlist'!A8</f>
        <v>CV099</v>
      </c>
      <c r="B50" s="24" t="str">
        <f>'Scored Shortlist'!C8</f>
        <v>JD3</v>
      </c>
      <c r="C50" s="24" t="str">
        <f>INDEX(Resumes!$C$2:$C$101,MATCH(A50,Resumes!$A$2:$A$101,0))</f>
        <v>Male</v>
      </c>
      <c r="D50" s="24" t="str">
        <f>INDEX(Resumes!$F$2:$F$101,MATCH(A50,Resumes!$A$2:$A$101,0))</f>
        <v>Tier-2 institute</v>
      </c>
      <c r="E50" s="24" t="str">
        <f>INDEX(Resumes!$H$2:$H$101,MATCH(A50,Resumes!$A$2:$A$101,0))</f>
        <v>1-year career break (family)</v>
      </c>
      <c r="F50" s="24">
        <f>'Scored Shortlist'!I8</f>
        <v>67</v>
      </c>
      <c r="G50" s="24">
        <f>'Scored Shortlist'!G8</f>
        <v>12</v>
      </c>
      <c r="H50" s="24" t="str">
        <f>'Scored Shortlist'!J8</f>
        <v>Shortlist</v>
      </c>
      <c r="I50" s="24">
        <f t="shared" si="0"/>
        <v>0</v>
      </c>
      <c r="J50" s="24">
        <f t="shared" si="1"/>
        <v>-5</v>
      </c>
      <c r="K50" s="24">
        <f t="shared" si="2"/>
        <v>62</v>
      </c>
      <c r="L50" s="24" t="str">
        <f t="shared" si="3"/>
        <v>Shortlist</v>
      </c>
      <c r="M50" s="24">
        <f t="shared" si="4"/>
        <v>0</v>
      </c>
    </row>
    <row r="51" spans="1:13" x14ac:dyDescent="0.25">
      <c r="A51" s="24" t="str">
        <f>'Scored Shortlist'!A9</f>
        <v>CV040</v>
      </c>
      <c r="B51" s="24" t="str">
        <f>'Scored Shortlist'!C9</f>
        <v>JD3</v>
      </c>
      <c r="C51" s="24" t="str">
        <f>INDEX(Resumes!$C$2:$C$101,MATCH(A51,Resumes!$A$2:$A$101,0))</f>
        <v>Male</v>
      </c>
      <c r="D51" s="24" t="str">
        <f>INDEX(Resumes!$F$2:$F$101,MATCH(A51,Resumes!$A$2:$A$101,0))</f>
        <v>Tier-1 institute</v>
      </c>
      <c r="E51" s="24" t="str">
        <f>INDEX(Resumes!$H$2:$H$101,MATCH(A51,Resumes!$A$2:$A$101,0))</f>
        <v>6-month gap (exam preparation)</v>
      </c>
      <c r="F51" s="24">
        <f>'Scored Shortlist'!I9</f>
        <v>63</v>
      </c>
      <c r="G51" s="24">
        <f>'Scored Shortlist'!G9</f>
        <v>8</v>
      </c>
      <c r="H51" s="24" t="str">
        <f>'Scored Shortlist'!J9</f>
        <v>Review</v>
      </c>
      <c r="I51" s="24">
        <f t="shared" si="0"/>
        <v>5</v>
      </c>
      <c r="J51" s="24">
        <f t="shared" si="1"/>
        <v>-5</v>
      </c>
      <c r="K51" s="24">
        <f t="shared" si="2"/>
        <v>63</v>
      </c>
      <c r="L51" s="24" t="str">
        <f t="shared" si="3"/>
        <v>Review</v>
      </c>
      <c r="M51" s="24">
        <f t="shared" si="4"/>
        <v>0</v>
      </c>
    </row>
    <row r="52" spans="1:13" x14ac:dyDescent="0.25">
      <c r="A52" s="24" t="str">
        <f>'Scored Shortlist'!A10</f>
        <v>CV052</v>
      </c>
      <c r="B52" s="24" t="str">
        <f>'Scored Shortlist'!C10</f>
        <v>JD3</v>
      </c>
      <c r="C52" s="24" t="str">
        <f>INDEX(Resumes!$C$2:$C$101,MATCH(A52,Resumes!$A$2:$A$101,0))</f>
        <v>Female</v>
      </c>
      <c r="D52" s="24" t="str">
        <f>INDEX(Resumes!$F$2:$F$101,MATCH(A52,Resumes!$A$2:$A$101,0))</f>
        <v>Tier-3 institute</v>
      </c>
      <c r="E52" s="24" t="str">
        <f>INDEX(Resumes!$H$2:$H$101,MATCH(A52,Resumes!$A$2:$A$101,0))</f>
        <v>None</v>
      </c>
      <c r="F52" s="24">
        <f>'Scored Shortlist'!I10</f>
        <v>63</v>
      </c>
      <c r="G52" s="24">
        <f>'Scored Shortlist'!G10</f>
        <v>16</v>
      </c>
      <c r="H52" s="24" t="str">
        <f>'Scored Shortlist'!J10</f>
        <v>Shortlist</v>
      </c>
      <c r="I52" s="24">
        <f t="shared" si="0"/>
        <v>-5</v>
      </c>
      <c r="J52" s="24">
        <f t="shared" si="1"/>
        <v>0</v>
      </c>
      <c r="K52" s="24">
        <f t="shared" si="2"/>
        <v>58</v>
      </c>
      <c r="L52" s="24" t="str">
        <f t="shared" si="3"/>
        <v>Review</v>
      </c>
      <c r="M52" s="24">
        <f t="shared" si="4"/>
        <v>1</v>
      </c>
    </row>
    <row r="53" spans="1:13" x14ac:dyDescent="0.25">
      <c r="A53" s="24" t="str">
        <f>'Scored Shortlist'!A11</f>
        <v>CV089</v>
      </c>
      <c r="B53" s="24" t="str">
        <f>'Scored Shortlist'!C11</f>
        <v>JD3</v>
      </c>
      <c r="C53" s="24" t="str">
        <f>INDEX(Resumes!$C$2:$C$101,MATCH(A53,Resumes!$A$2:$A$101,0))</f>
        <v>Female</v>
      </c>
      <c r="D53" s="24" t="str">
        <f>INDEX(Resumes!$F$2:$F$101,MATCH(A53,Resumes!$A$2:$A$101,0))</f>
        <v>Tier-2 institute</v>
      </c>
      <c r="E53" s="24" t="str">
        <f>INDEX(Resumes!$H$2:$H$101,MATCH(A53,Resumes!$A$2:$A$101,0))</f>
        <v>6-month gap (exam preparation)</v>
      </c>
      <c r="F53" s="24">
        <f>'Scored Shortlist'!I11</f>
        <v>63</v>
      </c>
      <c r="G53" s="24">
        <f>'Scored Shortlist'!G11</f>
        <v>16</v>
      </c>
      <c r="H53" s="24" t="str">
        <f>'Scored Shortlist'!J11</f>
        <v>Shortlist</v>
      </c>
      <c r="I53" s="24">
        <f t="shared" si="0"/>
        <v>0</v>
      </c>
      <c r="J53" s="24">
        <f t="shared" si="1"/>
        <v>-5</v>
      </c>
      <c r="K53" s="24">
        <f t="shared" si="2"/>
        <v>58</v>
      </c>
      <c r="L53" s="24" t="str">
        <f t="shared" si="3"/>
        <v>Review</v>
      </c>
      <c r="M53" s="24">
        <f t="shared" si="4"/>
        <v>1</v>
      </c>
    </row>
    <row r="54" spans="1:13" x14ac:dyDescent="0.25">
      <c r="A54" s="24" t="str">
        <f>'Scored Shortlist'!A12</f>
        <v>CV044</v>
      </c>
      <c r="B54" s="24" t="str">
        <f>'Scored Shortlist'!C12</f>
        <v>JD3</v>
      </c>
      <c r="C54" s="24" t="str">
        <f>INDEX(Resumes!$C$2:$C$101,MATCH(A54,Resumes!$A$2:$A$101,0))</f>
        <v>Female</v>
      </c>
      <c r="D54" s="24" t="str">
        <f>INDEX(Resumes!$F$2:$F$101,MATCH(A54,Resumes!$A$2:$A$101,0))</f>
        <v>Tier-3 institute</v>
      </c>
      <c r="E54" s="24" t="str">
        <f>INDEX(Resumes!$H$2:$H$101,MATCH(A54,Resumes!$A$2:$A$101,0))</f>
        <v>None</v>
      </c>
      <c r="F54" s="24">
        <f>'Scored Shortlist'!I12</f>
        <v>59</v>
      </c>
      <c r="G54" s="24">
        <f>'Scored Shortlist'!G12</f>
        <v>12</v>
      </c>
      <c r="H54" s="24" t="str">
        <f>'Scored Shortlist'!J12</f>
        <v>Review</v>
      </c>
      <c r="I54" s="24">
        <f t="shared" si="0"/>
        <v>-5</v>
      </c>
      <c r="J54" s="24">
        <f t="shared" si="1"/>
        <v>0</v>
      </c>
      <c r="K54" s="24">
        <f t="shared" si="2"/>
        <v>54</v>
      </c>
      <c r="L54" s="24" t="str">
        <f t="shared" si="3"/>
        <v>Not shortlisted</v>
      </c>
      <c r="M54" s="24">
        <f t="shared" si="4"/>
        <v>1</v>
      </c>
    </row>
    <row r="55" spans="1:13" x14ac:dyDescent="0.25">
      <c r="A55" s="24" t="str">
        <f>'Scored Shortlist'!A13</f>
        <v>CV096</v>
      </c>
      <c r="B55" s="24" t="str">
        <f>'Scored Shortlist'!C13</f>
        <v>JD3</v>
      </c>
      <c r="C55" s="24" t="str">
        <f>INDEX(Resumes!$C$2:$C$101,MATCH(A55,Resumes!$A$2:$A$101,0))</f>
        <v>Male</v>
      </c>
      <c r="D55" s="24" t="str">
        <f>INDEX(Resumes!$F$2:$F$101,MATCH(A55,Resumes!$A$2:$A$101,0))</f>
        <v>Tier-2 institute</v>
      </c>
      <c r="E55" s="24" t="str">
        <f>INDEX(Resumes!$H$2:$H$101,MATCH(A55,Resumes!$A$2:$A$101,0))</f>
        <v>1-year career break (family)</v>
      </c>
      <c r="F55" s="24">
        <f>'Scored Shortlist'!I13</f>
        <v>58</v>
      </c>
      <c r="G55" s="24">
        <f>'Scored Shortlist'!G13</f>
        <v>8</v>
      </c>
      <c r="H55" s="24" t="str">
        <f>'Scored Shortlist'!J13</f>
        <v>Review</v>
      </c>
      <c r="I55" s="24">
        <f t="shared" si="0"/>
        <v>0</v>
      </c>
      <c r="J55" s="24">
        <f t="shared" si="1"/>
        <v>-5</v>
      </c>
      <c r="K55" s="24">
        <f t="shared" si="2"/>
        <v>53</v>
      </c>
      <c r="L55" s="24" t="str">
        <f t="shared" si="3"/>
        <v>Not shortlisted</v>
      </c>
      <c r="M55" s="24">
        <f t="shared" si="4"/>
        <v>1</v>
      </c>
    </row>
    <row r="56" spans="1:13" x14ac:dyDescent="0.25">
      <c r="A56" s="24" t="str">
        <f>'Scored Shortlist'!A14</f>
        <v>CV005</v>
      </c>
      <c r="B56" s="24" t="str">
        <f>'Scored Shortlist'!C14</f>
        <v>JD3</v>
      </c>
      <c r="C56" s="24" t="str">
        <f>INDEX(Resumes!$C$2:$C$101,MATCH(A56,Resumes!$A$2:$A$101,0))</f>
        <v>Male</v>
      </c>
      <c r="D56" s="24" t="str">
        <f>INDEX(Resumes!$F$2:$F$101,MATCH(A56,Resumes!$A$2:$A$101,0))</f>
        <v>Tier-2 institute</v>
      </c>
      <c r="E56" s="24" t="str">
        <f>INDEX(Resumes!$H$2:$H$101,MATCH(A56,Resumes!$A$2:$A$101,0))</f>
        <v>None</v>
      </c>
      <c r="F56" s="24">
        <f>'Scored Shortlist'!I14</f>
        <v>57</v>
      </c>
      <c r="G56" s="24">
        <f>'Scored Shortlist'!G14</f>
        <v>16</v>
      </c>
      <c r="H56" s="24" t="str">
        <f>'Scored Shortlist'!J14</f>
        <v>Review</v>
      </c>
      <c r="I56" s="24">
        <f t="shared" si="0"/>
        <v>0</v>
      </c>
      <c r="J56" s="24">
        <f t="shared" si="1"/>
        <v>0</v>
      </c>
      <c r="K56" s="24">
        <f t="shared" si="2"/>
        <v>57</v>
      </c>
      <c r="L56" s="24" t="str">
        <f t="shared" si="3"/>
        <v>Review</v>
      </c>
      <c r="M56" s="24">
        <f t="shared" si="4"/>
        <v>0</v>
      </c>
    </row>
    <row r="57" spans="1:13" x14ac:dyDescent="0.25">
      <c r="A57" s="24" t="str">
        <f>'Scored Shortlist'!A15</f>
        <v>CV009</v>
      </c>
      <c r="B57" s="24" t="str">
        <f>'Scored Shortlist'!C15</f>
        <v>JD3</v>
      </c>
      <c r="C57" s="24" t="str">
        <f>INDEX(Resumes!$C$2:$C$101,MATCH(A57,Resumes!$A$2:$A$101,0))</f>
        <v>Male</v>
      </c>
      <c r="D57" s="24" t="str">
        <f>INDEX(Resumes!$F$2:$F$101,MATCH(A57,Resumes!$A$2:$A$101,0))</f>
        <v>Tier-2 institute</v>
      </c>
      <c r="E57" s="24" t="str">
        <f>INDEX(Resumes!$H$2:$H$101,MATCH(A57,Resumes!$A$2:$A$101,0))</f>
        <v>None</v>
      </c>
      <c r="F57" s="24">
        <f>'Scored Shortlist'!I15</f>
        <v>57</v>
      </c>
      <c r="G57" s="24">
        <f>'Scored Shortlist'!G15</f>
        <v>8</v>
      </c>
      <c r="H57" s="24" t="str">
        <f>'Scored Shortlist'!J15</f>
        <v>Review</v>
      </c>
      <c r="I57" s="24">
        <f t="shared" si="0"/>
        <v>0</v>
      </c>
      <c r="J57" s="24">
        <f t="shared" si="1"/>
        <v>0</v>
      </c>
      <c r="K57" s="24">
        <f t="shared" si="2"/>
        <v>57</v>
      </c>
      <c r="L57" s="24" t="str">
        <f t="shared" si="3"/>
        <v>Review</v>
      </c>
      <c r="M57" s="24">
        <f t="shared" si="4"/>
        <v>0</v>
      </c>
    </row>
    <row r="58" spans="1:13" x14ac:dyDescent="0.25">
      <c r="A58" s="24" t="str">
        <f>'Scored Shortlist'!A16</f>
        <v>CV011</v>
      </c>
      <c r="B58" s="24" t="str">
        <f>'Scored Shortlist'!C16</f>
        <v>JD3</v>
      </c>
      <c r="C58" s="24" t="str">
        <f>INDEX(Resumes!$C$2:$C$101,MATCH(A58,Resumes!$A$2:$A$101,0))</f>
        <v>Female</v>
      </c>
      <c r="D58" s="24" t="str">
        <f>INDEX(Resumes!$F$2:$F$101,MATCH(A58,Resumes!$A$2:$A$101,0))</f>
        <v>Tier-2 institute</v>
      </c>
      <c r="E58" s="24" t="str">
        <f>INDEX(Resumes!$H$2:$H$101,MATCH(A58,Resumes!$A$2:$A$101,0))</f>
        <v>None</v>
      </c>
      <c r="F58" s="24">
        <f>'Scored Shortlist'!I16</f>
        <v>57</v>
      </c>
      <c r="G58" s="24">
        <f>'Scored Shortlist'!G16</f>
        <v>16</v>
      </c>
      <c r="H58" s="24" t="str">
        <f>'Scored Shortlist'!J16</f>
        <v>Review</v>
      </c>
      <c r="I58" s="24">
        <f t="shared" si="0"/>
        <v>0</v>
      </c>
      <c r="J58" s="24">
        <f t="shared" si="1"/>
        <v>0</v>
      </c>
      <c r="K58" s="24">
        <f t="shared" si="2"/>
        <v>57</v>
      </c>
      <c r="L58" s="24" t="str">
        <f t="shared" si="3"/>
        <v>Review</v>
      </c>
      <c r="M58" s="24">
        <f t="shared" si="4"/>
        <v>0</v>
      </c>
    </row>
    <row r="59" spans="1:13" x14ac:dyDescent="0.25">
      <c r="A59" s="24" t="str">
        <f>'Scored Shortlist'!A17</f>
        <v>CV073</v>
      </c>
      <c r="B59" s="24" t="str">
        <f>'Scored Shortlist'!C17</f>
        <v>JD3</v>
      </c>
      <c r="C59" s="24" t="str">
        <f>INDEX(Resumes!$C$2:$C$101,MATCH(A59,Resumes!$A$2:$A$101,0))</f>
        <v>Female</v>
      </c>
      <c r="D59" s="24" t="str">
        <f>INDEX(Resumes!$F$2:$F$101,MATCH(A59,Resumes!$A$2:$A$101,0))</f>
        <v>Tier-1 institute</v>
      </c>
      <c r="E59" s="24" t="str">
        <f>INDEX(Resumes!$H$2:$H$101,MATCH(A59,Resumes!$A$2:$A$101,0))</f>
        <v>None</v>
      </c>
      <c r="F59" s="24">
        <f>'Scored Shortlist'!I17</f>
        <v>57</v>
      </c>
      <c r="G59" s="24">
        <f>'Scored Shortlist'!G17</f>
        <v>16</v>
      </c>
      <c r="H59" s="24" t="str">
        <f>'Scored Shortlist'!J17</f>
        <v>Review</v>
      </c>
      <c r="I59" s="24">
        <f t="shared" si="0"/>
        <v>5</v>
      </c>
      <c r="J59" s="24">
        <f t="shared" si="1"/>
        <v>0</v>
      </c>
      <c r="K59" s="24">
        <f t="shared" si="2"/>
        <v>62</v>
      </c>
      <c r="L59" s="24" t="str">
        <f t="shared" si="3"/>
        <v>Shortlist</v>
      </c>
      <c r="M59" s="24">
        <f t="shared" si="4"/>
        <v>1</v>
      </c>
    </row>
    <row r="60" spans="1:13" x14ac:dyDescent="0.25">
      <c r="A60" s="24" t="str">
        <f>'Scored Shortlist'!A18</f>
        <v>CV083</v>
      </c>
      <c r="B60" s="24" t="str">
        <f>'Scored Shortlist'!C18</f>
        <v>JD3</v>
      </c>
      <c r="C60" s="24" t="str">
        <f>INDEX(Resumes!$C$2:$C$101,MATCH(A60,Resumes!$A$2:$A$101,0))</f>
        <v>Male</v>
      </c>
      <c r="D60" s="24" t="str">
        <f>INDEX(Resumes!$F$2:$F$101,MATCH(A60,Resumes!$A$2:$A$101,0))</f>
        <v>Tier-2 institute</v>
      </c>
      <c r="E60" s="24" t="str">
        <f>INDEX(Resumes!$H$2:$H$101,MATCH(A60,Resumes!$A$2:$A$101,0))</f>
        <v>None</v>
      </c>
      <c r="F60" s="24">
        <f>'Scored Shortlist'!I18</f>
        <v>56</v>
      </c>
      <c r="G60" s="24">
        <f>'Scored Shortlist'!G18</f>
        <v>16</v>
      </c>
      <c r="H60" s="24" t="str">
        <f>'Scored Shortlist'!J18</f>
        <v>Review</v>
      </c>
      <c r="I60" s="24">
        <f t="shared" si="0"/>
        <v>0</v>
      </c>
      <c r="J60" s="24">
        <f t="shared" si="1"/>
        <v>0</v>
      </c>
      <c r="K60" s="24">
        <f t="shared" si="2"/>
        <v>56</v>
      </c>
      <c r="L60" s="24" t="str">
        <f t="shared" si="3"/>
        <v>Review</v>
      </c>
      <c r="M60" s="24">
        <f t="shared" si="4"/>
        <v>0</v>
      </c>
    </row>
    <row r="61" spans="1:13" x14ac:dyDescent="0.25">
      <c r="A61" s="24" t="str">
        <f>'Scored Shortlist'!A19</f>
        <v>CV087</v>
      </c>
      <c r="B61" s="24" t="str">
        <f>'Scored Shortlist'!C19</f>
        <v>JD3</v>
      </c>
      <c r="C61" s="24" t="str">
        <f>INDEX(Resumes!$C$2:$C$101,MATCH(A61,Resumes!$A$2:$A$101,0))</f>
        <v>Female</v>
      </c>
      <c r="D61" s="24" t="str">
        <f>INDEX(Resumes!$F$2:$F$101,MATCH(A61,Resumes!$A$2:$A$101,0))</f>
        <v>Tier-2 institute</v>
      </c>
      <c r="E61" s="24" t="str">
        <f>INDEX(Resumes!$H$2:$H$101,MATCH(A61,Resumes!$A$2:$A$101,0))</f>
        <v>1-year career break (family)</v>
      </c>
      <c r="F61" s="24">
        <f>'Scored Shortlist'!I19</f>
        <v>56</v>
      </c>
      <c r="G61" s="24">
        <f>'Scored Shortlist'!G19</f>
        <v>8</v>
      </c>
      <c r="H61" s="24" t="str">
        <f>'Scored Shortlist'!J19</f>
        <v>Review</v>
      </c>
      <c r="I61" s="24">
        <f t="shared" si="0"/>
        <v>0</v>
      </c>
      <c r="J61" s="24">
        <f t="shared" si="1"/>
        <v>-5</v>
      </c>
      <c r="K61" s="24">
        <f t="shared" si="2"/>
        <v>51</v>
      </c>
      <c r="L61" s="24" t="str">
        <f t="shared" si="3"/>
        <v>Not shortlisted</v>
      </c>
      <c r="M61" s="24">
        <f t="shared" si="4"/>
        <v>1</v>
      </c>
    </row>
    <row r="62" spans="1:13" x14ac:dyDescent="0.25">
      <c r="A62" s="24" t="str">
        <f>'Scored Shortlist'!A20</f>
        <v>CV016</v>
      </c>
      <c r="B62" s="24" t="str">
        <f>'Scored Shortlist'!C20</f>
        <v>JD3</v>
      </c>
      <c r="C62" s="24" t="str">
        <f>INDEX(Resumes!$C$2:$C$101,MATCH(A62,Resumes!$A$2:$A$101,0))</f>
        <v>Male</v>
      </c>
      <c r="D62" s="24" t="str">
        <f>INDEX(Resumes!$F$2:$F$101,MATCH(A62,Resumes!$A$2:$A$101,0))</f>
        <v>Tier-2 institute</v>
      </c>
      <c r="E62" s="24" t="str">
        <f>INDEX(Resumes!$H$2:$H$101,MATCH(A62,Resumes!$A$2:$A$101,0))</f>
        <v>None</v>
      </c>
      <c r="F62" s="24">
        <f>'Scored Shortlist'!I20</f>
        <v>55</v>
      </c>
      <c r="G62" s="24">
        <f>'Scored Shortlist'!G20</f>
        <v>8</v>
      </c>
      <c r="H62" s="24" t="str">
        <f>'Scored Shortlist'!J20</f>
        <v>Review</v>
      </c>
      <c r="I62" s="24">
        <f t="shared" si="0"/>
        <v>0</v>
      </c>
      <c r="J62" s="24">
        <f t="shared" si="1"/>
        <v>0</v>
      </c>
      <c r="K62" s="24">
        <f t="shared" si="2"/>
        <v>55</v>
      </c>
      <c r="L62" s="24" t="str">
        <f t="shared" si="3"/>
        <v>Review</v>
      </c>
      <c r="M62" s="24">
        <f t="shared" si="4"/>
        <v>0</v>
      </c>
    </row>
    <row r="63" spans="1:13" x14ac:dyDescent="0.25">
      <c r="A63" s="24" t="str">
        <f>'Scored Shortlist'!A21</f>
        <v>CV032</v>
      </c>
      <c r="B63" s="24" t="str">
        <f>'Scored Shortlist'!C21</f>
        <v>JD3</v>
      </c>
      <c r="C63" s="24" t="str">
        <f>INDEX(Resumes!$C$2:$C$101,MATCH(A63,Resumes!$A$2:$A$101,0))</f>
        <v>Female</v>
      </c>
      <c r="D63" s="24" t="str">
        <f>INDEX(Resumes!$F$2:$F$101,MATCH(A63,Resumes!$A$2:$A$101,0))</f>
        <v>Tier-1 institute</v>
      </c>
      <c r="E63" s="24" t="str">
        <f>INDEX(Resumes!$H$2:$H$101,MATCH(A63,Resumes!$A$2:$A$101,0))</f>
        <v>None</v>
      </c>
      <c r="F63" s="24">
        <f>'Scored Shortlist'!I21</f>
        <v>55</v>
      </c>
      <c r="G63" s="24">
        <f>'Scored Shortlist'!G21</f>
        <v>8</v>
      </c>
      <c r="H63" s="24" t="str">
        <f>'Scored Shortlist'!J21</f>
        <v>Review</v>
      </c>
      <c r="I63" s="24">
        <f t="shared" si="0"/>
        <v>5</v>
      </c>
      <c r="J63" s="24">
        <f t="shared" si="1"/>
        <v>0</v>
      </c>
      <c r="K63" s="24">
        <f t="shared" si="2"/>
        <v>60</v>
      </c>
      <c r="L63" s="24" t="str">
        <f t="shared" si="3"/>
        <v>Review</v>
      </c>
      <c r="M63" s="24">
        <f t="shared" si="4"/>
        <v>0</v>
      </c>
    </row>
    <row r="64" spans="1:13" x14ac:dyDescent="0.25">
      <c r="A64" s="24" t="str">
        <f>'Scored Shortlist'!A22</f>
        <v>CV043</v>
      </c>
      <c r="B64" s="24" t="str">
        <f>'Scored Shortlist'!C22</f>
        <v>JD3</v>
      </c>
      <c r="C64" s="24" t="str">
        <f>INDEX(Resumes!$C$2:$C$101,MATCH(A64,Resumes!$A$2:$A$101,0))</f>
        <v>Female</v>
      </c>
      <c r="D64" s="24" t="str">
        <f>INDEX(Resumes!$F$2:$F$101,MATCH(A64,Resumes!$A$2:$A$101,0))</f>
        <v>Tier-3 institute</v>
      </c>
      <c r="E64" s="24" t="str">
        <f>INDEX(Resumes!$H$2:$H$101,MATCH(A64,Resumes!$A$2:$A$101,0))</f>
        <v>6-month gap (exam preparation)</v>
      </c>
      <c r="F64" s="24">
        <f>'Scored Shortlist'!I22</f>
        <v>55</v>
      </c>
      <c r="G64" s="24">
        <f>'Scored Shortlist'!G22</f>
        <v>12</v>
      </c>
      <c r="H64" s="24" t="str">
        <f>'Scored Shortlist'!J22</f>
        <v>Review</v>
      </c>
      <c r="I64" s="24">
        <f t="shared" si="0"/>
        <v>-5</v>
      </c>
      <c r="J64" s="24">
        <f t="shared" si="1"/>
        <v>-5</v>
      </c>
      <c r="K64" s="24">
        <f t="shared" si="2"/>
        <v>45</v>
      </c>
      <c r="L64" s="24" t="str">
        <f t="shared" si="3"/>
        <v>Not shortlisted</v>
      </c>
      <c r="M64" s="24">
        <f t="shared" si="4"/>
        <v>1</v>
      </c>
    </row>
    <row r="65" spans="1:13" x14ac:dyDescent="0.25">
      <c r="A65" s="24" t="str">
        <f>'Scored Shortlist'!A23</f>
        <v>CV022</v>
      </c>
      <c r="B65" s="24" t="str">
        <f>'Scored Shortlist'!C23</f>
        <v>JD3</v>
      </c>
      <c r="C65" s="24" t="str">
        <f>INDEX(Resumes!$C$2:$C$101,MATCH(A65,Resumes!$A$2:$A$101,0))</f>
        <v>Male</v>
      </c>
      <c r="D65" s="24" t="str">
        <f>INDEX(Resumes!$F$2:$F$101,MATCH(A65,Resumes!$A$2:$A$101,0))</f>
        <v>Tier-1 institute</v>
      </c>
      <c r="E65" s="24" t="str">
        <f>INDEX(Resumes!$H$2:$H$101,MATCH(A65,Resumes!$A$2:$A$101,0))</f>
        <v>None</v>
      </c>
      <c r="F65" s="24">
        <f>'Scored Shortlist'!I23</f>
        <v>54</v>
      </c>
      <c r="G65" s="24">
        <f>'Scored Shortlist'!G23</f>
        <v>12</v>
      </c>
      <c r="H65" s="24" t="str">
        <f>'Scored Shortlist'!J23</f>
        <v>Not shortlisted</v>
      </c>
      <c r="I65" s="24">
        <f t="shared" si="0"/>
        <v>5</v>
      </c>
      <c r="J65" s="24">
        <f t="shared" si="1"/>
        <v>0</v>
      </c>
      <c r="K65" s="24">
        <f t="shared" si="2"/>
        <v>59</v>
      </c>
      <c r="L65" s="24" t="str">
        <f t="shared" si="3"/>
        <v>Review</v>
      </c>
      <c r="M65" s="24">
        <f t="shared" si="4"/>
        <v>1</v>
      </c>
    </row>
    <row r="66" spans="1:13" x14ac:dyDescent="0.25">
      <c r="A66" s="24" t="str">
        <f>'Scored Shortlist'!A24</f>
        <v>CV072</v>
      </c>
      <c r="B66" s="24" t="str">
        <f>'Scored Shortlist'!C24</f>
        <v>JD3</v>
      </c>
      <c r="C66" s="24" t="str">
        <f>INDEX(Resumes!$C$2:$C$101,MATCH(A66,Resumes!$A$2:$A$101,0))</f>
        <v>Male</v>
      </c>
      <c r="D66" s="24" t="str">
        <f>INDEX(Resumes!$F$2:$F$101,MATCH(A66,Resumes!$A$2:$A$101,0))</f>
        <v>Tier-2 institute</v>
      </c>
      <c r="E66" s="24" t="str">
        <f>INDEX(Resumes!$H$2:$H$101,MATCH(A66,Resumes!$A$2:$A$101,0))</f>
        <v>None</v>
      </c>
      <c r="F66" s="24">
        <f>'Scored Shortlist'!I24</f>
        <v>54</v>
      </c>
      <c r="G66" s="24">
        <f>'Scored Shortlist'!G24</f>
        <v>12</v>
      </c>
      <c r="H66" s="24" t="str">
        <f>'Scored Shortlist'!J24</f>
        <v>Not shortlisted</v>
      </c>
      <c r="I66" s="24">
        <f t="shared" si="0"/>
        <v>0</v>
      </c>
      <c r="J66" s="24">
        <f t="shared" si="1"/>
        <v>0</v>
      </c>
      <c r="K66" s="24">
        <f t="shared" si="2"/>
        <v>54</v>
      </c>
      <c r="L66" s="24" t="str">
        <f t="shared" si="3"/>
        <v>Not shortlisted</v>
      </c>
      <c r="M66" s="24">
        <f t="shared" si="4"/>
        <v>0</v>
      </c>
    </row>
    <row r="67" spans="1:13" x14ac:dyDescent="0.25">
      <c r="A67" s="24" t="str">
        <f>'Scored Shortlist'!A25</f>
        <v>CV015</v>
      </c>
      <c r="B67" s="24" t="str">
        <f>'Scored Shortlist'!C25</f>
        <v>JD3</v>
      </c>
      <c r="C67" s="24" t="str">
        <f>INDEX(Resumes!$C$2:$C$101,MATCH(A67,Resumes!$A$2:$A$101,0))</f>
        <v>Male</v>
      </c>
      <c r="D67" s="24" t="str">
        <f>INDEX(Resumes!$F$2:$F$101,MATCH(A67,Resumes!$A$2:$A$101,0))</f>
        <v>Tier-1 institute</v>
      </c>
      <c r="E67" s="24" t="str">
        <f>INDEX(Resumes!$H$2:$H$101,MATCH(A67,Resumes!$A$2:$A$101,0))</f>
        <v>None</v>
      </c>
      <c r="F67" s="24">
        <f>'Scored Shortlist'!I25</f>
        <v>53</v>
      </c>
      <c r="G67" s="24">
        <f>'Scored Shortlist'!G25</f>
        <v>16</v>
      </c>
      <c r="H67" s="24" t="str">
        <f>'Scored Shortlist'!J25</f>
        <v>Not shortlisted</v>
      </c>
      <c r="I67" s="24">
        <f t="shared" si="0"/>
        <v>5</v>
      </c>
      <c r="J67" s="24">
        <f t="shared" si="1"/>
        <v>0</v>
      </c>
      <c r="K67" s="24">
        <f t="shared" si="2"/>
        <v>58</v>
      </c>
      <c r="L67" s="24" t="str">
        <f t="shared" si="3"/>
        <v>Review</v>
      </c>
      <c r="M67" s="24">
        <f t="shared" si="4"/>
        <v>1</v>
      </c>
    </row>
    <row r="68" spans="1:13" x14ac:dyDescent="0.25">
      <c r="A68" s="24" t="str">
        <f>'Scored Shortlist'!A26</f>
        <v>CV039</v>
      </c>
      <c r="B68" s="24" t="str">
        <f>'Scored Shortlist'!C26</f>
        <v>JD3</v>
      </c>
      <c r="C68" s="24" t="str">
        <f>INDEX(Resumes!$C$2:$C$101,MATCH(A68,Resumes!$A$2:$A$101,0))</f>
        <v>Male</v>
      </c>
      <c r="D68" s="24" t="str">
        <f>INDEX(Resumes!$F$2:$F$101,MATCH(A68,Resumes!$A$2:$A$101,0))</f>
        <v>Tier-2 institute</v>
      </c>
      <c r="E68" s="24" t="str">
        <f>INDEX(Resumes!$H$2:$H$101,MATCH(A68,Resumes!$A$2:$A$101,0))</f>
        <v>1-year career break (family)</v>
      </c>
      <c r="F68" s="24">
        <f>'Scored Shortlist'!I26</f>
        <v>53</v>
      </c>
      <c r="G68" s="24">
        <f>'Scored Shortlist'!G26</f>
        <v>0</v>
      </c>
      <c r="H68" s="24" t="str">
        <f>'Scored Shortlist'!J26</f>
        <v>Not shortlisted</v>
      </c>
      <c r="I68" s="24">
        <f t="shared" si="0"/>
        <v>0</v>
      </c>
      <c r="J68" s="24">
        <f t="shared" si="1"/>
        <v>-5</v>
      </c>
      <c r="K68" s="24">
        <f t="shared" si="2"/>
        <v>48</v>
      </c>
      <c r="L68" s="24" t="str">
        <f t="shared" si="3"/>
        <v>Not shortlisted</v>
      </c>
      <c r="M68" s="24">
        <f t="shared" si="4"/>
        <v>0</v>
      </c>
    </row>
    <row r="69" spans="1:13" x14ac:dyDescent="0.25">
      <c r="A69" s="24" t="str">
        <f>'Scored Shortlist'!A27</f>
        <v>CV003</v>
      </c>
      <c r="B69" s="24" t="str">
        <f>'Scored Shortlist'!C27</f>
        <v>JD3</v>
      </c>
      <c r="C69" s="24" t="str">
        <f>INDEX(Resumes!$C$2:$C$101,MATCH(A69,Resumes!$A$2:$A$101,0))</f>
        <v>Female</v>
      </c>
      <c r="D69" s="24" t="str">
        <f>INDEX(Resumes!$F$2:$F$101,MATCH(A69,Resumes!$A$2:$A$101,0))</f>
        <v>Tier-3 institute</v>
      </c>
      <c r="E69" s="24" t="str">
        <f>INDEX(Resumes!$H$2:$H$101,MATCH(A69,Resumes!$A$2:$A$101,0))</f>
        <v>6-month gap (exam preparation)</v>
      </c>
      <c r="F69" s="24">
        <f>'Scored Shortlist'!I27</f>
        <v>52</v>
      </c>
      <c r="G69" s="24">
        <f>'Scored Shortlist'!G27</f>
        <v>16</v>
      </c>
      <c r="H69" s="24" t="str">
        <f>'Scored Shortlist'!J27</f>
        <v>Not shortlisted</v>
      </c>
      <c r="I69" s="24">
        <f t="shared" si="0"/>
        <v>-5</v>
      </c>
      <c r="J69" s="24">
        <f t="shared" si="1"/>
        <v>-5</v>
      </c>
      <c r="K69" s="24">
        <f t="shared" si="2"/>
        <v>42</v>
      </c>
      <c r="L69" s="24" t="str">
        <f t="shared" si="3"/>
        <v>Not shortlisted</v>
      </c>
      <c r="M69" s="24">
        <f t="shared" si="4"/>
        <v>0</v>
      </c>
    </row>
    <row r="70" spans="1:13" x14ac:dyDescent="0.25">
      <c r="A70" s="24" t="str">
        <f>'Scored Shortlist'!A28</f>
        <v>CV062</v>
      </c>
      <c r="B70" s="24" t="str">
        <f>'Scored Shortlist'!C28</f>
        <v>JD3</v>
      </c>
      <c r="C70" s="24" t="str">
        <f>INDEX(Resumes!$C$2:$C$101,MATCH(A70,Resumes!$A$2:$A$101,0))</f>
        <v>Female</v>
      </c>
      <c r="D70" s="24" t="str">
        <f>INDEX(Resumes!$F$2:$F$101,MATCH(A70,Resumes!$A$2:$A$101,0))</f>
        <v>Tier-1 institute</v>
      </c>
      <c r="E70" s="24" t="str">
        <f>INDEX(Resumes!$H$2:$H$101,MATCH(A70,Resumes!$A$2:$A$101,0))</f>
        <v>None</v>
      </c>
      <c r="F70" s="24">
        <f>'Scored Shortlist'!I28</f>
        <v>52</v>
      </c>
      <c r="G70" s="24">
        <f>'Scored Shortlist'!G28</f>
        <v>12</v>
      </c>
      <c r="H70" s="24" t="str">
        <f>'Scored Shortlist'!J28</f>
        <v>Not shortlisted</v>
      </c>
      <c r="I70" s="24">
        <f t="shared" si="0"/>
        <v>5</v>
      </c>
      <c r="J70" s="24">
        <f t="shared" si="1"/>
        <v>0</v>
      </c>
      <c r="K70" s="24">
        <f t="shared" si="2"/>
        <v>57</v>
      </c>
      <c r="L70" s="24" t="str">
        <f t="shared" si="3"/>
        <v>Review</v>
      </c>
      <c r="M70" s="24">
        <f t="shared" si="4"/>
        <v>1</v>
      </c>
    </row>
    <row r="71" spans="1:13" x14ac:dyDescent="0.25">
      <c r="A71" s="24" t="str">
        <f>'Scored Shortlist'!A29</f>
        <v>CV091</v>
      </c>
      <c r="B71" s="24" t="str">
        <f>'Scored Shortlist'!C29</f>
        <v>JD3</v>
      </c>
      <c r="C71" s="24" t="str">
        <f>INDEX(Resumes!$C$2:$C$101,MATCH(A71,Resumes!$A$2:$A$101,0))</f>
        <v>Female</v>
      </c>
      <c r="D71" s="24" t="str">
        <f>INDEX(Resumes!$F$2:$F$101,MATCH(A71,Resumes!$A$2:$A$101,0))</f>
        <v>Tier-2 institute</v>
      </c>
      <c r="E71" s="24" t="str">
        <f>INDEX(Resumes!$H$2:$H$101,MATCH(A71,Resumes!$A$2:$A$101,0))</f>
        <v>None</v>
      </c>
      <c r="F71" s="24">
        <f>'Scored Shortlist'!I29</f>
        <v>52</v>
      </c>
      <c r="G71" s="24">
        <f>'Scored Shortlist'!G29</f>
        <v>4</v>
      </c>
      <c r="H71" s="24" t="str">
        <f>'Scored Shortlist'!J29</f>
        <v>Not shortlisted</v>
      </c>
      <c r="I71" s="24">
        <f t="shared" si="0"/>
        <v>0</v>
      </c>
      <c r="J71" s="24">
        <f t="shared" si="1"/>
        <v>0</v>
      </c>
      <c r="K71" s="24">
        <f t="shared" si="2"/>
        <v>52</v>
      </c>
      <c r="L71" s="24" t="str">
        <f t="shared" si="3"/>
        <v>Not shortlisted</v>
      </c>
      <c r="M71" s="24">
        <f t="shared" si="4"/>
        <v>0</v>
      </c>
    </row>
    <row r="72" spans="1:13" x14ac:dyDescent="0.25">
      <c r="A72" s="24" t="str">
        <f>'Scored Shortlist'!A30</f>
        <v>CV029</v>
      </c>
      <c r="B72" s="24" t="str">
        <f>'Scored Shortlist'!C30</f>
        <v>JD3</v>
      </c>
      <c r="C72" s="24" t="str">
        <f>INDEX(Resumes!$C$2:$C$101,MATCH(A72,Resumes!$A$2:$A$101,0))</f>
        <v>Male</v>
      </c>
      <c r="D72" s="24" t="str">
        <f>INDEX(Resumes!$F$2:$F$101,MATCH(A72,Resumes!$A$2:$A$101,0))</f>
        <v>Tier-1 institute</v>
      </c>
      <c r="E72" s="24" t="str">
        <f>INDEX(Resumes!$H$2:$H$101,MATCH(A72,Resumes!$A$2:$A$101,0))</f>
        <v>None</v>
      </c>
      <c r="F72" s="24">
        <f>'Scored Shortlist'!I30</f>
        <v>51</v>
      </c>
      <c r="G72" s="24">
        <f>'Scored Shortlist'!G30</f>
        <v>16</v>
      </c>
      <c r="H72" s="24" t="str">
        <f>'Scored Shortlist'!J30</f>
        <v>Not shortlisted</v>
      </c>
      <c r="I72" s="24">
        <f t="shared" si="0"/>
        <v>5</v>
      </c>
      <c r="J72" s="24">
        <f t="shared" si="1"/>
        <v>0</v>
      </c>
      <c r="K72" s="24">
        <f t="shared" si="2"/>
        <v>56</v>
      </c>
      <c r="L72" s="24" t="str">
        <f t="shared" si="3"/>
        <v>Review</v>
      </c>
      <c r="M72" s="24">
        <f t="shared" si="4"/>
        <v>1</v>
      </c>
    </row>
    <row r="73" spans="1:13" x14ac:dyDescent="0.25">
      <c r="A73" s="24" t="str">
        <f>'Scored Shortlist'!A31</f>
        <v>CV084</v>
      </c>
      <c r="B73" s="24" t="str">
        <f>'Scored Shortlist'!C31</f>
        <v>JD3</v>
      </c>
      <c r="C73" s="24" t="str">
        <f>INDEX(Resumes!$C$2:$C$101,MATCH(A73,Resumes!$A$2:$A$101,0))</f>
        <v>Male</v>
      </c>
      <c r="D73" s="24" t="str">
        <f>INDEX(Resumes!$F$2:$F$101,MATCH(A73,Resumes!$A$2:$A$101,0))</f>
        <v>Tier-2 institute</v>
      </c>
      <c r="E73" s="24" t="str">
        <f>INDEX(Resumes!$H$2:$H$101,MATCH(A73,Resumes!$A$2:$A$101,0))</f>
        <v>None</v>
      </c>
      <c r="F73" s="24">
        <f>'Scored Shortlist'!I31</f>
        <v>51</v>
      </c>
      <c r="G73" s="24">
        <f>'Scored Shortlist'!G31</f>
        <v>4</v>
      </c>
      <c r="H73" s="24" t="str">
        <f>'Scored Shortlist'!J31</f>
        <v>Not shortlisted</v>
      </c>
      <c r="I73" s="24">
        <f t="shared" si="0"/>
        <v>0</v>
      </c>
      <c r="J73" s="24">
        <f t="shared" si="1"/>
        <v>0</v>
      </c>
      <c r="K73" s="24">
        <f t="shared" si="2"/>
        <v>51</v>
      </c>
      <c r="L73" s="24" t="str">
        <f t="shared" si="3"/>
        <v>Not shortlisted</v>
      </c>
      <c r="M73" s="24">
        <f t="shared" si="4"/>
        <v>0</v>
      </c>
    </row>
    <row r="74" spans="1:13" x14ac:dyDescent="0.25">
      <c r="A74" s="24" t="str">
        <f>'Scored Shortlist'!A32</f>
        <v>CV070</v>
      </c>
      <c r="B74" s="24" t="str">
        <f>'Scored Shortlist'!C32</f>
        <v>JD3</v>
      </c>
      <c r="C74" s="24" t="str">
        <f>INDEX(Resumes!$C$2:$C$101,MATCH(A74,Resumes!$A$2:$A$101,0))</f>
        <v>Female</v>
      </c>
      <c r="D74" s="24" t="str">
        <f>INDEX(Resumes!$F$2:$F$101,MATCH(A74,Resumes!$A$2:$A$101,0))</f>
        <v>Tier-3 institute</v>
      </c>
      <c r="E74" s="24" t="str">
        <f>INDEX(Resumes!$H$2:$H$101,MATCH(A74,Resumes!$A$2:$A$101,0))</f>
        <v>None</v>
      </c>
      <c r="F74" s="24">
        <f>'Scored Shortlist'!I32</f>
        <v>50</v>
      </c>
      <c r="G74" s="24">
        <f>'Scored Shortlist'!G32</f>
        <v>16</v>
      </c>
      <c r="H74" s="24" t="str">
        <f>'Scored Shortlist'!J32</f>
        <v>Not shortlisted</v>
      </c>
      <c r="I74" s="24">
        <f t="shared" si="0"/>
        <v>-5</v>
      </c>
      <c r="J74" s="24">
        <f t="shared" si="1"/>
        <v>0</v>
      </c>
      <c r="K74" s="24">
        <f t="shared" si="2"/>
        <v>45</v>
      </c>
      <c r="L74" s="24" t="str">
        <f t="shared" si="3"/>
        <v>Not shortlisted</v>
      </c>
      <c r="M74" s="24">
        <f t="shared" si="4"/>
        <v>0</v>
      </c>
    </row>
    <row r="75" spans="1:13" x14ac:dyDescent="0.25">
      <c r="A75" s="24" t="str">
        <f>'Scored Shortlist'!A33</f>
        <v>CV077</v>
      </c>
      <c r="B75" s="24" t="str">
        <f>'Scored Shortlist'!C33</f>
        <v>JD3</v>
      </c>
      <c r="C75" s="24" t="str">
        <f>INDEX(Resumes!$C$2:$C$101,MATCH(A75,Resumes!$A$2:$A$101,0))</f>
        <v>Female</v>
      </c>
      <c r="D75" s="24" t="str">
        <f>INDEX(Resumes!$F$2:$F$101,MATCH(A75,Resumes!$A$2:$A$101,0))</f>
        <v>Tier-2 institute</v>
      </c>
      <c r="E75" s="24" t="str">
        <f>INDEX(Resumes!$H$2:$H$101,MATCH(A75,Resumes!$A$2:$A$101,0))</f>
        <v>None</v>
      </c>
      <c r="F75" s="24">
        <f>'Scored Shortlist'!I33</f>
        <v>50</v>
      </c>
      <c r="G75" s="24">
        <f>'Scored Shortlist'!G33</f>
        <v>16</v>
      </c>
      <c r="H75" s="24" t="str">
        <f>'Scored Shortlist'!J33</f>
        <v>Not shortlisted</v>
      </c>
      <c r="I75" s="24">
        <f t="shared" si="0"/>
        <v>0</v>
      </c>
      <c r="J75" s="24">
        <f t="shared" si="1"/>
        <v>0</v>
      </c>
      <c r="K75" s="24">
        <f t="shared" si="2"/>
        <v>50</v>
      </c>
      <c r="L75" s="24" t="str">
        <f t="shared" si="3"/>
        <v>Not shortlisted</v>
      </c>
      <c r="M75" s="24">
        <f t="shared" si="4"/>
        <v>0</v>
      </c>
    </row>
    <row r="76" spans="1:13" x14ac:dyDescent="0.25">
      <c r="A76" s="24" t="str">
        <f>'Scored Shortlist'!A34</f>
        <v>CV080</v>
      </c>
      <c r="B76" s="24" t="str">
        <f>'Scored Shortlist'!C34</f>
        <v>JD3</v>
      </c>
      <c r="C76" s="24" t="str">
        <f>INDEX(Resumes!$C$2:$C$101,MATCH(A76,Resumes!$A$2:$A$101,0))</f>
        <v>Male</v>
      </c>
      <c r="D76" s="24" t="str">
        <f>INDEX(Resumes!$F$2:$F$101,MATCH(A76,Resumes!$A$2:$A$101,0))</f>
        <v>Tier-3 institute</v>
      </c>
      <c r="E76" s="24" t="str">
        <f>INDEX(Resumes!$H$2:$H$101,MATCH(A76,Resumes!$A$2:$A$101,0))</f>
        <v>None</v>
      </c>
      <c r="F76" s="24">
        <f>'Scored Shortlist'!I34</f>
        <v>50</v>
      </c>
      <c r="G76" s="24">
        <f>'Scored Shortlist'!G34</f>
        <v>16</v>
      </c>
      <c r="H76" s="24" t="str">
        <f>'Scored Shortlist'!J34</f>
        <v>Not shortlisted</v>
      </c>
      <c r="I76" s="24">
        <f t="shared" si="0"/>
        <v>-5</v>
      </c>
      <c r="J76" s="24">
        <f t="shared" si="1"/>
        <v>0</v>
      </c>
      <c r="K76" s="24">
        <f t="shared" si="2"/>
        <v>45</v>
      </c>
      <c r="L76" s="24" t="str">
        <f t="shared" si="3"/>
        <v>Not shortlisted</v>
      </c>
      <c r="M76" s="24">
        <f t="shared" si="4"/>
        <v>0</v>
      </c>
    </row>
    <row r="77" spans="1:13" x14ac:dyDescent="0.25">
      <c r="A77" s="24" t="str">
        <f>'Scored Shortlist'!A35</f>
        <v>CV006</v>
      </c>
      <c r="B77" s="24" t="str">
        <f>'Scored Shortlist'!C35</f>
        <v>JD3</v>
      </c>
      <c r="C77" s="24" t="str">
        <f>INDEX(Resumes!$C$2:$C$101,MATCH(A77,Resumes!$A$2:$A$101,0))</f>
        <v>Male</v>
      </c>
      <c r="D77" s="24" t="str">
        <f>INDEX(Resumes!$F$2:$F$101,MATCH(A77,Resumes!$A$2:$A$101,0))</f>
        <v>Tier-3 institute</v>
      </c>
      <c r="E77" s="24" t="str">
        <f>INDEX(Resumes!$H$2:$H$101,MATCH(A77,Resumes!$A$2:$A$101,0))</f>
        <v>None</v>
      </c>
      <c r="F77" s="24">
        <f>'Scored Shortlist'!I35</f>
        <v>49</v>
      </c>
      <c r="G77" s="24">
        <f>'Scored Shortlist'!G35</f>
        <v>24</v>
      </c>
      <c r="H77" s="24" t="str">
        <f>'Scored Shortlist'!J35</f>
        <v>Not shortlisted</v>
      </c>
      <c r="I77" s="24">
        <f t="shared" si="0"/>
        <v>-5</v>
      </c>
      <c r="J77" s="24">
        <f t="shared" si="1"/>
        <v>0</v>
      </c>
      <c r="K77" s="24">
        <f t="shared" si="2"/>
        <v>44</v>
      </c>
      <c r="L77" s="24" t="str">
        <f t="shared" si="3"/>
        <v>Not shortlisted</v>
      </c>
      <c r="M77" s="24">
        <f t="shared" si="4"/>
        <v>0</v>
      </c>
    </row>
    <row r="78" spans="1:13" x14ac:dyDescent="0.25">
      <c r="A78" s="24" t="str">
        <f>'Scored Shortlist'!A36</f>
        <v>CV034</v>
      </c>
      <c r="B78" s="24" t="str">
        <f>'Scored Shortlist'!C36</f>
        <v>JD3</v>
      </c>
      <c r="C78" s="24" t="str">
        <f>INDEX(Resumes!$C$2:$C$101,MATCH(A78,Resumes!$A$2:$A$101,0))</f>
        <v>Female</v>
      </c>
      <c r="D78" s="24" t="str">
        <f>INDEX(Resumes!$F$2:$F$101,MATCH(A78,Resumes!$A$2:$A$101,0))</f>
        <v>Tier-3 institute</v>
      </c>
      <c r="E78" s="24" t="str">
        <f>INDEX(Resumes!$H$2:$H$101,MATCH(A78,Resumes!$A$2:$A$101,0))</f>
        <v>None</v>
      </c>
      <c r="F78" s="24">
        <f>'Scored Shortlist'!I36</f>
        <v>49</v>
      </c>
      <c r="G78" s="24">
        <f>'Scored Shortlist'!G36</f>
        <v>8</v>
      </c>
      <c r="H78" s="24" t="str">
        <f>'Scored Shortlist'!J36</f>
        <v>Not shortlisted</v>
      </c>
      <c r="I78" s="24">
        <f t="shared" ref="I78:I109" si="5">IF(D78="Tier-1 institute",$B$16,IF(D78="Tier-3 institute",$B$17,0))</f>
        <v>-5</v>
      </c>
      <c r="J78" s="24">
        <f t="shared" ref="J78:J109" si="6">IF(E78="None",0,$B$18)</f>
        <v>0</v>
      </c>
      <c r="K78" s="24">
        <f t="shared" ref="K78:K109" si="7">F78+I78+J78</f>
        <v>44</v>
      </c>
      <c r="L78" s="24" t="str">
        <f t="shared" ref="L78:L109" si="8">IF(AND(K78&gt;=SL_CUT,G78&gt;=SL_SKILL),"Shortlist",IF(AND(K78&gt;=RV_CUT,G78&gt;=RV_SKILL),"Review","Not shortlisted"))</f>
        <v>Not shortlisted</v>
      </c>
      <c r="M78" s="24">
        <f t="shared" ref="M78:M109" si="9">IF(H78&lt;&gt;L78,1,0)</f>
        <v>0</v>
      </c>
    </row>
    <row r="79" spans="1:13" x14ac:dyDescent="0.25">
      <c r="A79" s="24" t="str">
        <f>'Scored Shortlist'!A37</f>
        <v>CV036</v>
      </c>
      <c r="B79" s="24" t="str">
        <f>'Scored Shortlist'!C37</f>
        <v>JD3</v>
      </c>
      <c r="C79" s="24" t="str">
        <f>INDEX(Resumes!$C$2:$C$101,MATCH(A79,Resumes!$A$2:$A$101,0))</f>
        <v>Female</v>
      </c>
      <c r="D79" s="24" t="str">
        <f>INDEX(Resumes!$F$2:$F$101,MATCH(A79,Resumes!$A$2:$A$101,0))</f>
        <v>Tier-3 institute</v>
      </c>
      <c r="E79" s="24" t="str">
        <f>INDEX(Resumes!$H$2:$H$101,MATCH(A79,Resumes!$A$2:$A$101,0))</f>
        <v>6-month gap (exam preparation)</v>
      </c>
      <c r="F79" s="24">
        <f>'Scored Shortlist'!I37</f>
        <v>49</v>
      </c>
      <c r="G79" s="24">
        <f>'Scored Shortlist'!G37</f>
        <v>8</v>
      </c>
      <c r="H79" s="24" t="str">
        <f>'Scored Shortlist'!J37</f>
        <v>Not shortlisted</v>
      </c>
      <c r="I79" s="24">
        <f t="shared" si="5"/>
        <v>-5</v>
      </c>
      <c r="J79" s="24">
        <f t="shared" si="6"/>
        <v>-5</v>
      </c>
      <c r="K79" s="24">
        <f t="shared" si="7"/>
        <v>39</v>
      </c>
      <c r="L79" s="24" t="str">
        <f t="shared" si="8"/>
        <v>Not shortlisted</v>
      </c>
      <c r="M79" s="24">
        <f t="shared" si="9"/>
        <v>0</v>
      </c>
    </row>
    <row r="80" spans="1:13" x14ac:dyDescent="0.25">
      <c r="A80" s="24" t="str">
        <f>'Scored Shortlist'!A38</f>
        <v>CV028</v>
      </c>
      <c r="B80" s="24" t="str">
        <f>'Scored Shortlist'!C38</f>
        <v>JD3</v>
      </c>
      <c r="C80" s="24" t="str">
        <f>INDEX(Resumes!$C$2:$C$101,MATCH(A80,Resumes!$A$2:$A$101,0))</f>
        <v>Female</v>
      </c>
      <c r="D80" s="24" t="str">
        <f>INDEX(Resumes!$F$2:$F$101,MATCH(A80,Resumes!$A$2:$A$101,0))</f>
        <v>Tier-1 institute</v>
      </c>
      <c r="E80" s="24" t="str">
        <f>INDEX(Resumes!$H$2:$H$101,MATCH(A80,Resumes!$A$2:$A$101,0))</f>
        <v>None</v>
      </c>
      <c r="F80" s="24">
        <f>'Scored Shortlist'!I38</f>
        <v>48</v>
      </c>
      <c r="G80" s="24">
        <f>'Scored Shortlist'!G38</f>
        <v>12</v>
      </c>
      <c r="H80" s="24" t="str">
        <f>'Scored Shortlist'!J38</f>
        <v>Not shortlisted</v>
      </c>
      <c r="I80" s="24">
        <f t="shared" si="5"/>
        <v>5</v>
      </c>
      <c r="J80" s="24">
        <f t="shared" si="6"/>
        <v>0</v>
      </c>
      <c r="K80" s="24">
        <f t="shared" si="7"/>
        <v>53</v>
      </c>
      <c r="L80" s="24" t="str">
        <f t="shared" si="8"/>
        <v>Not shortlisted</v>
      </c>
      <c r="M80" s="24">
        <f t="shared" si="9"/>
        <v>0</v>
      </c>
    </row>
    <row r="81" spans="1:13" x14ac:dyDescent="0.25">
      <c r="A81" s="24" t="str">
        <f>'Scored Shortlist'!A39</f>
        <v>CV049</v>
      </c>
      <c r="B81" s="24" t="str">
        <f>'Scored Shortlist'!C39</f>
        <v>JD3</v>
      </c>
      <c r="C81" s="24" t="str">
        <f>INDEX(Resumes!$C$2:$C$101,MATCH(A81,Resumes!$A$2:$A$101,0))</f>
        <v>Male</v>
      </c>
      <c r="D81" s="24" t="str">
        <f>INDEX(Resumes!$F$2:$F$101,MATCH(A81,Resumes!$A$2:$A$101,0))</f>
        <v>Tier-2 institute</v>
      </c>
      <c r="E81" s="24" t="str">
        <f>INDEX(Resumes!$H$2:$H$101,MATCH(A81,Resumes!$A$2:$A$101,0))</f>
        <v>1-year career break (family)</v>
      </c>
      <c r="F81" s="24">
        <f>'Scored Shortlist'!I39</f>
        <v>48</v>
      </c>
      <c r="G81" s="24">
        <f>'Scored Shortlist'!G39</f>
        <v>8</v>
      </c>
      <c r="H81" s="24" t="str">
        <f>'Scored Shortlist'!J39</f>
        <v>Not shortlisted</v>
      </c>
      <c r="I81" s="24">
        <f t="shared" si="5"/>
        <v>0</v>
      </c>
      <c r="J81" s="24">
        <f t="shared" si="6"/>
        <v>-5</v>
      </c>
      <c r="K81" s="24">
        <f t="shared" si="7"/>
        <v>43</v>
      </c>
      <c r="L81" s="24" t="str">
        <f t="shared" si="8"/>
        <v>Not shortlisted</v>
      </c>
      <c r="M81" s="24">
        <f t="shared" si="9"/>
        <v>0</v>
      </c>
    </row>
    <row r="82" spans="1:13" x14ac:dyDescent="0.25">
      <c r="A82" s="24" t="str">
        <f>'Scored Shortlist'!A40</f>
        <v>CV065</v>
      </c>
      <c r="B82" s="24" t="str">
        <f>'Scored Shortlist'!C40</f>
        <v>JD3</v>
      </c>
      <c r="C82" s="24" t="str">
        <f>INDEX(Resumes!$C$2:$C$101,MATCH(A82,Resumes!$A$2:$A$101,0))</f>
        <v>Female</v>
      </c>
      <c r="D82" s="24" t="str">
        <f>INDEX(Resumes!$F$2:$F$101,MATCH(A82,Resumes!$A$2:$A$101,0))</f>
        <v>Tier-2 institute</v>
      </c>
      <c r="E82" s="24" t="str">
        <f>INDEX(Resumes!$H$2:$H$101,MATCH(A82,Resumes!$A$2:$A$101,0))</f>
        <v>None</v>
      </c>
      <c r="F82" s="24">
        <f>'Scored Shortlist'!I40</f>
        <v>48</v>
      </c>
      <c r="G82" s="24">
        <f>'Scored Shortlist'!G40</f>
        <v>12</v>
      </c>
      <c r="H82" s="24" t="str">
        <f>'Scored Shortlist'!J40</f>
        <v>Not shortlisted</v>
      </c>
      <c r="I82" s="24">
        <f t="shared" si="5"/>
        <v>0</v>
      </c>
      <c r="J82" s="24">
        <f t="shared" si="6"/>
        <v>0</v>
      </c>
      <c r="K82" s="24">
        <f t="shared" si="7"/>
        <v>48</v>
      </c>
      <c r="L82" s="24" t="str">
        <f t="shared" si="8"/>
        <v>Not shortlisted</v>
      </c>
      <c r="M82" s="24">
        <f t="shared" si="9"/>
        <v>0</v>
      </c>
    </row>
    <row r="83" spans="1:13" x14ac:dyDescent="0.25">
      <c r="A83" s="24" t="str">
        <f>'Scored Shortlist'!A41</f>
        <v>CV090</v>
      </c>
      <c r="B83" s="24" t="str">
        <f>'Scored Shortlist'!C41</f>
        <v>JD3</v>
      </c>
      <c r="C83" s="24" t="str">
        <f>INDEX(Resumes!$C$2:$C$101,MATCH(A83,Resumes!$A$2:$A$101,0))</f>
        <v>Male</v>
      </c>
      <c r="D83" s="24" t="str">
        <f>INDEX(Resumes!$F$2:$F$101,MATCH(A83,Resumes!$A$2:$A$101,0))</f>
        <v>Tier-3 institute</v>
      </c>
      <c r="E83" s="24" t="str">
        <f>INDEX(Resumes!$H$2:$H$101,MATCH(A83,Resumes!$A$2:$A$101,0))</f>
        <v>6-month gap (exam preparation)</v>
      </c>
      <c r="F83" s="24">
        <f>'Scored Shortlist'!I41</f>
        <v>48</v>
      </c>
      <c r="G83" s="24">
        <f>'Scored Shortlist'!G41</f>
        <v>12</v>
      </c>
      <c r="H83" s="24" t="str">
        <f>'Scored Shortlist'!J41</f>
        <v>Not shortlisted</v>
      </c>
      <c r="I83" s="24">
        <f t="shared" si="5"/>
        <v>-5</v>
      </c>
      <c r="J83" s="24">
        <f t="shared" si="6"/>
        <v>-5</v>
      </c>
      <c r="K83" s="24">
        <f t="shared" si="7"/>
        <v>38</v>
      </c>
      <c r="L83" s="24" t="str">
        <f t="shared" si="8"/>
        <v>Not shortlisted</v>
      </c>
      <c r="M83" s="24">
        <f t="shared" si="9"/>
        <v>0</v>
      </c>
    </row>
    <row r="84" spans="1:13" x14ac:dyDescent="0.25">
      <c r="A84" s="24" t="str">
        <f>'Scored Shortlist'!A42</f>
        <v>CV092</v>
      </c>
      <c r="B84" s="24" t="str">
        <f>'Scored Shortlist'!C42</f>
        <v>JD3</v>
      </c>
      <c r="C84" s="24" t="str">
        <f>INDEX(Resumes!$C$2:$C$101,MATCH(A84,Resumes!$A$2:$A$101,0))</f>
        <v>Female</v>
      </c>
      <c r="D84" s="24" t="str">
        <f>INDEX(Resumes!$F$2:$F$101,MATCH(A84,Resumes!$A$2:$A$101,0))</f>
        <v>Tier-1 institute</v>
      </c>
      <c r="E84" s="24" t="str">
        <f>INDEX(Resumes!$H$2:$H$101,MATCH(A84,Resumes!$A$2:$A$101,0))</f>
        <v>None</v>
      </c>
      <c r="F84" s="24">
        <f>'Scored Shortlist'!I42</f>
        <v>48</v>
      </c>
      <c r="G84" s="24">
        <f>'Scored Shortlist'!G42</f>
        <v>8</v>
      </c>
      <c r="H84" s="24" t="str">
        <f>'Scored Shortlist'!J42</f>
        <v>Not shortlisted</v>
      </c>
      <c r="I84" s="24">
        <f t="shared" si="5"/>
        <v>5</v>
      </c>
      <c r="J84" s="24">
        <f t="shared" si="6"/>
        <v>0</v>
      </c>
      <c r="K84" s="24">
        <f t="shared" si="7"/>
        <v>53</v>
      </c>
      <c r="L84" s="24" t="str">
        <f t="shared" si="8"/>
        <v>Not shortlisted</v>
      </c>
      <c r="M84" s="24">
        <f t="shared" si="9"/>
        <v>0</v>
      </c>
    </row>
    <row r="85" spans="1:13" x14ac:dyDescent="0.25">
      <c r="A85" s="24" t="str">
        <f>'Scored Shortlist'!A43</f>
        <v>CV094</v>
      </c>
      <c r="B85" s="24" t="str">
        <f>'Scored Shortlist'!C43</f>
        <v>JD3</v>
      </c>
      <c r="C85" s="24" t="str">
        <f>INDEX(Resumes!$C$2:$C$101,MATCH(A85,Resumes!$A$2:$A$101,0))</f>
        <v>Male</v>
      </c>
      <c r="D85" s="24" t="str">
        <f>INDEX(Resumes!$F$2:$F$101,MATCH(A85,Resumes!$A$2:$A$101,0))</f>
        <v>Tier-3 institute</v>
      </c>
      <c r="E85" s="24" t="str">
        <f>INDEX(Resumes!$H$2:$H$101,MATCH(A85,Resumes!$A$2:$A$101,0))</f>
        <v>None</v>
      </c>
      <c r="F85" s="24">
        <f>'Scored Shortlist'!I43</f>
        <v>48</v>
      </c>
      <c r="G85" s="24">
        <f>'Scored Shortlist'!G43</f>
        <v>12</v>
      </c>
      <c r="H85" s="24" t="str">
        <f>'Scored Shortlist'!J43</f>
        <v>Not shortlisted</v>
      </c>
      <c r="I85" s="24">
        <f t="shared" si="5"/>
        <v>-5</v>
      </c>
      <c r="J85" s="24">
        <f t="shared" si="6"/>
        <v>0</v>
      </c>
      <c r="K85" s="24">
        <f t="shared" si="7"/>
        <v>43</v>
      </c>
      <c r="L85" s="24" t="str">
        <f t="shared" si="8"/>
        <v>Not shortlisted</v>
      </c>
      <c r="M85" s="24">
        <f t="shared" si="9"/>
        <v>0</v>
      </c>
    </row>
    <row r="86" spans="1:13" x14ac:dyDescent="0.25">
      <c r="A86" s="24" t="str">
        <f>'Scored Shortlist'!A44</f>
        <v>CV020</v>
      </c>
      <c r="B86" s="24" t="str">
        <f>'Scored Shortlist'!C44</f>
        <v>JD3</v>
      </c>
      <c r="C86" s="24" t="str">
        <f>INDEX(Resumes!$C$2:$C$101,MATCH(A86,Resumes!$A$2:$A$101,0))</f>
        <v>Male</v>
      </c>
      <c r="D86" s="24" t="str">
        <f>INDEX(Resumes!$F$2:$F$101,MATCH(A86,Resumes!$A$2:$A$101,0))</f>
        <v>Tier-1 institute</v>
      </c>
      <c r="E86" s="24" t="str">
        <f>INDEX(Resumes!$H$2:$H$101,MATCH(A86,Resumes!$A$2:$A$101,0))</f>
        <v>None</v>
      </c>
      <c r="F86" s="24">
        <f>'Scored Shortlist'!I44</f>
        <v>47</v>
      </c>
      <c r="G86" s="24">
        <f>'Scored Shortlist'!G44</f>
        <v>4</v>
      </c>
      <c r="H86" s="24" t="str">
        <f>'Scored Shortlist'!J44</f>
        <v>Not shortlisted</v>
      </c>
      <c r="I86" s="24">
        <f t="shared" si="5"/>
        <v>5</v>
      </c>
      <c r="J86" s="24">
        <f t="shared" si="6"/>
        <v>0</v>
      </c>
      <c r="K86" s="24">
        <f t="shared" si="7"/>
        <v>52</v>
      </c>
      <c r="L86" s="24" t="str">
        <f t="shared" si="8"/>
        <v>Not shortlisted</v>
      </c>
      <c r="M86" s="24">
        <f t="shared" si="9"/>
        <v>0</v>
      </c>
    </row>
    <row r="87" spans="1:13" x14ac:dyDescent="0.25">
      <c r="A87" s="24" t="str">
        <f>'Scored Shortlist'!A45</f>
        <v>CV030</v>
      </c>
      <c r="B87" s="24" t="str">
        <f>'Scored Shortlist'!C45</f>
        <v>JD3</v>
      </c>
      <c r="C87" s="24" t="str">
        <f>INDEX(Resumes!$C$2:$C$101,MATCH(A87,Resumes!$A$2:$A$101,0))</f>
        <v>Female</v>
      </c>
      <c r="D87" s="24" t="str">
        <f>INDEX(Resumes!$F$2:$F$101,MATCH(A87,Resumes!$A$2:$A$101,0))</f>
        <v>Tier-3 institute</v>
      </c>
      <c r="E87" s="24" t="str">
        <f>INDEX(Resumes!$H$2:$H$101,MATCH(A87,Resumes!$A$2:$A$101,0))</f>
        <v>None</v>
      </c>
      <c r="F87" s="24">
        <f>'Scored Shortlist'!I45</f>
        <v>47</v>
      </c>
      <c r="G87" s="24">
        <f>'Scored Shortlist'!G45</f>
        <v>16</v>
      </c>
      <c r="H87" s="24" t="str">
        <f>'Scored Shortlist'!J45</f>
        <v>Not shortlisted</v>
      </c>
      <c r="I87" s="24">
        <f t="shared" si="5"/>
        <v>-5</v>
      </c>
      <c r="J87" s="24">
        <f t="shared" si="6"/>
        <v>0</v>
      </c>
      <c r="K87" s="24">
        <f t="shared" si="7"/>
        <v>42</v>
      </c>
      <c r="L87" s="24" t="str">
        <f t="shared" si="8"/>
        <v>Not shortlisted</v>
      </c>
      <c r="M87" s="24">
        <f t="shared" si="9"/>
        <v>0</v>
      </c>
    </row>
    <row r="88" spans="1:13" x14ac:dyDescent="0.25">
      <c r="A88" s="24" t="str">
        <f>'Scored Shortlist'!A46</f>
        <v>CV057</v>
      </c>
      <c r="B88" s="24" t="str">
        <f>'Scored Shortlist'!C46</f>
        <v>JD3</v>
      </c>
      <c r="C88" s="24" t="str">
        <f>INDEX(Resumes!$C$2:$C$101,MATCH(A88,Resumes!$A$2:$A$101,0))</f>
        <v>Female</v>
      </c>
      <c r="D88" s="24" t="str">
        <f>INDEX(Resumes!$F$2:$F$101,MATCH(A88,Resumes!$A$2:$A$101,0))</f>
        <v>Tier-2 institute</v>
      </c>
      <c r="E88" s="24" t="str">
        <f>INDEX(Resumes!$H$2:$H$101,MATCH(A88,Resumes!$A$2:$A$101,0))</f>
        <v>1-year career break (family)</v>
      </c>
      <c r="F88" s="24">
        <f>'Scored Shortlist'!I46</f>
        <v>47</v>
      </c>
      <c r="G88" s="24">
        <f>'Scored Shortlist'!G46</f>
        <v>12</v>
      </c>
      <c r="H88" s="24" t="str">
        <f>'Scored Shortlist'!J46</f>
        <v>Not shortlisted</v>
      </c>
      <c r="I88" s="24">
        <f t="shared" si="5"/>
        <v>0</v>
      </c>
      <c r="J88" s="24">
        <f t="shared" si="6"/>
        <v>-5</v>
      </c>
      <c r="K88" s="24">
        <f t="shared" si="7"/>
        <v>42</v>
      </c>
      <c r="L88" s="24" t="str">
        <f t="shared" si="8"/>
        <v>Not shortlisted</v>
      </c>
      <c r="M88" s="24">
        <f t="shared" si="9"/>
        <v>0</v>
      </c>
    </row>
    <row r="89" spans="1:13" x14ac:dyDescent="0.25">
      <c r="A89" s="24" t="str">
        <f>'Scored Shortlist'!A47</f>
        <v>CV063</v>
      </c>
      <c r="B89" s="24" t="str">
        <f>'Scored Shortlist'!C47</f>
        <v>JD3</v>
      </c>
      <c r="C89" s="24" t="str">
        <f>INDEX(Resumes!$C$2:$C$101,MATCH(A89,Resumes!$A$2:$A$101,0))</f>
        <v>Female</v>
      </c>
      <c r="D89" s="24" t="str">
        <f>INDEX(Resumes!$F$2:$F$101,MATCH(A89,Resumes!$A$2:$A$101,0))</f>
        <v>Tier-2 institute</v>
      </c>
      <c r="E89" s="24" t="str">
        <f>INDEX(Resumes!$H$2:$H$101,MATCH(A89,Resumes!$A$2:$A$101,0))</f>
        <v>None</v>
      </c>
      <c r="F89" s="24">
        <f>'Scored Shortlist'!I47</f>
        <v>47</v>
      </c>
      <c r="G89" s="24">
        <f>'Scored Shortlist'!G47</f>
        <v>12</v>
      </c>
      <c r="H89" s="24" t="str">
        <f>'Scored Shortlist'!J47</f>
        <v>Not shortlisted</v>
      </c>
      <c r="I89" s="24">
        <f t="shared" si="5"/>
        <v>0</v>
      </c>
      <c r="J89" s="24">
        <f t="shared" si="6"/>
        <v>0</v>
      </c>
      <c r="K89" s="24">
        <f t="shared" si="7"/>
        <v>47</v>
      </c>
      <c r="L89" s="24" t="str">
        <f t="shared" si="8"/>
        <v>Not shortlisted</v>
      </c>
      <c r="M89" s="24">
        <f t="shared" si="9"/>
        <v>0</v>
      </c>
    </row>
    <row r="90" spans="1:13" x14ac:dyDescent="0.25">
      <c r="A90" s="24" t="str">
        <f>'Scored Shortlist'!A48</f>
        <v>CV079</v>
      </c>
      <c r="B90" s="24" t="str">
        <f>'Scored Shortlist'!C48</f>
        <v>JD3</v>
      </c>
      <c r="C90" s="24" t="str">
        <f>INDEX(Resumes!$C$2:$C$101,MATCH(A90,Resumes!$A$2:$A$101,0))</f>
        <v>Female</v>
      </c>
      <c r="D90" s="24" t="str">
        <f>INDEX(Resumes!$F$2:$F$101,MATCH(A90,Resumes!$A$2:$A$101,0))</f>
        <v>Tier-2 institute</v>
      </c>
      <c r="E90" s="24" t="str">
        <f>INDEX(Resumes!$H$2:$H$101,MATCH(A90,Resumes!$A$2:$A$101,0))</f>
        <v>1-year career break (family)</v>
      </c>
      <c r="F90" s="24">
        <f>'Scored Shortlist'!I48</f>
        <v>47</v>
      </c>
      <c r="G90" s="24">
        <f>'Scored Shortlist'!G48</f>
        <v>4</v>
      </c>
      <c r="H90" s="24" t="str">
        <f>'Scored Shortlist'!J48</f>
        <v>Not shortlisted</v>
      </c>
      <c r="I90" s="24">
        <f t="shared" si="5"/>
        <v>0</v>
      </c>
      <c r="J90" s="24">
        <f t="shared" si="6"/>
        <v>-5</v>
      </c>
      <c r="K90" s="24">
        <f t="shared" si="7"/>
        <v>42</v>
      </c>
      <c r="L90" s="24" t="str">
        <f t="shared" si="8"/>
        <v>Not shortlisted</v>
      </c>
      <c r="M90" s="24">
        <f t="shared" si="9"/>
        <v>0</v>
      </c>
    </row>
    <row r="91" spans="1:13" x14ac:dyDescent="0.25">
      <c r="A91" s="24" t="str">
        <f>'Scored Shortlist'!A49</f>
        <v>CV056</v>
      </c>
      <c r="B91" s="24" t="str">
        <f>'Scored Shortlist'!C49</f>
        <v>JD3</v>
      </c>
      <c r="C91" s="24" t="str">
        <f>INDEX(Resumes!$C$2:$C$101,MATCH(A91,Resumes!$A$2:$A$101,0))</f>
        <v>Male</v>
      </c>
      <c r="D91" s="24" t="str">
        <f>INDEX(Resumes!$F$2:$F$101,MATCH(A91,Resumes!$A$2:$A$101,0))</f>
        <v>Tier-3 institute</v>
      </c>
      <c r="E91" s="24" t="str">
        <f>INDEX(Resumes!$H$2:$H$101,MATCH(A91,Resumes!$A$2:$A$101,0))</f>
        <v>None</v>
      </c>
      <c r="F91" s="24">
        <f>'Scored Shortlist'!I49</f>
        <v>46</v>
      </c>
      <c r="G91" s="24">
        <f>'Scored Shortlist'!G49</f>
        <v>4</v>
      </c>
      <c r="H91" s="24" t="str">
        <f>'Scored Shortlist'!J49</f>
        <v>Not shortlisted</v>
      </c>
      <c r="I91" s="24">
        <f t="shared" si="5"/>
        <v>-5</v>
      </c>
      <c r="J91" s="24">
        <f t="shared" si="6"/>
        <v>0</v>
      </c>
      <c r="K91" s="24">
        <f t="shared" si="7"/>
        <v>41</v>
      </c>
      <c r="L91" s="24" t="str">
        <f t="shared" si="8"/>
        <v>Not shortlisted</v>
      </c>
      <c r="M91" s="24">
        <f t="shared" si="9"/>
        <v>0</v>
      </c>
    </row>
    <row r="92" spans="1:13" x14ac:dyDescent="0.25">
      <c r="A92" s="24" t="str">
        <f>'Scored Shortlist'!A50</f>
        <v>CV058</v>
      </c>
      <c r="B92" s="24" t="str">
        <f>'Scored Shortlist'!C50</f>
        <v>JD3</v>
      </c>
      <c r="C92" s="24" t="str">
        <f>INDEX(Resumes!$C$2:$C$101,MATCH(A92,Resumes!$A$2:$A$101,0))</f>
        <v>Female</v>
      </c>
      <c r="D92" s="24" t="str">
        <f>INDEX(Resumes!$F$2:$F$101,MATCH(A92,Resumes!$A$2:$A$101,0))</f>
        <v>Tier-3 institute</v>
      </c>
      <c r="E92" s="24" t="str">
        <f>INDEX(Resumes!$H$2:$H$101,MATCH(A92,Resumes!$A$2:$A$101,0))</f>
        <v>None</v>
      </c>
      <c r="F92" s="24">
        <f>'Scored Shortlist'!I50</f>
        <v>46</v>
      </c>
      <c r="G92" s="24">
        <f>'Scored Shortlist'!G50</f>
        <v>12</v>
      </c>
      <c r="H92" s="24" t="str">
        <f>'Scored Shortlist'!J50</f>
        <v>Not shortlisted</v>
      </c>
      <c r="I92" s="24">
        <f t="shared" si="5"/>
        <v>-5</v>
      </c>
      <c r="J92" s="24">
        <f t="shared" si="6"/>
        <v>0</v>
      </c>
      <c r="K92" s="24">
        <f t="shared" si="7"/>
        <v>41</v>
      </c>
      <c r="L92" s="24" t="str">
        <f t="shared" si="8"/>
        <v>Not shortlisted</v>
      </c>
      <c r="M92" s="24">
        <f t="shared" si="9"/>
        <v>0</v>
      </c>
    </row>
    <row r="93" spans="1:13" x14ac:dyDescent="0.25">
      <c r="A93" s="24" t="str">
        <f>'Scored Shortlist'!A51</f>
        <v>CV069</v>
      </c>
      <c r="B93" s="24" t="str">
        <f>'Scored Shortlist'!C51</f>
        <v>JD3</v>
      </c>
      <c r="C93" s="24" t="str">
        <f>INDEX(Resumes!$C$2:$C$101,MATCH(A93,Resumes!$A$2:$A$101,0))</f>
        <v>Male</v>
      </c>
      <c r="D93" s="24" t="str">
        <f>INDEX(Resumes!$F$2:$F$101,MATCH(A93,Resumes!$A$2:$A$101,0))</f>
        <v>Tier-3 institute</v>
      </c>
      <c r="E93" s="24" t="str">
        <f>INDEX(Resumes!$H$2:$H$101,MATCH(A93,Resumes!$A$2:$A$101,0))</f>
        <v>6-month gap (exam preparation)</v>
      </c>
      <c r="F93" s="24">
        <f>'Scored Shortlist'!I51</f>
        <v>46</v>
      </c>
      <c r="G93" s="24">
        <f>'Scored Shortlist'!G51</f>
        <v>16</v>
      </c>
      <c r="H93" s="24" t="str">
        <f>'Scored Shortlist'!J51</f>
        <v>Not shortlisted</v>
      </c>
      <c r="I93" s="24">
        <f t="shared" si="5"/>
        <v>-5</v>
      </c>
      <c r="J93" s="24">
        <f t="shared" si="6"/>
        <v>-5</v>
      </c>
      <c r="K93" s="24">
        <f t="shared" si="7"/>
        <v>36</v>
      </c>
      <c r="L93" s="24" t="str">
        <f t="shared" si="8"/>
        <v>Not shortlisted</v>
      </c>
      <c r="M93" s="24">
        <f t="shared" si="9"/>
        <v>0</v>
      </c>
    </row>
    <row r="94" spans="1:13" x14ac:dyDescent="0.25">
      <c r="A94" s="24" t="str">
        <f>'Scored Shortlist'!A52</f>
        <v>CV007</v>
      </c>
      <c r="B94" s="24" t="str">
        <f>'Scored Shortlist'!C52</f>
        <v>JD3</v>
      </c>
      <c r="C94" s="24" t="str">
        <f>INDEX(Resumes!$C$2:$C$101,MATCH(A94,Resumes!$A$2:$A$101,0))</f>
        <v>Female</v>
      </c>
      <c r="D94" s="24" t="str">
        <f>INDEX(Resumes!$F$2:$F$101,MATCH(A94,Resumes!$A$2:$A$101,0))</f>
        <v>Tier-2 institute</v>
      </c>
      <c r="E94" s="24" t="str">
        <f>INDEX(Resumes!$H$2:$H$101,MATCH(A94,Resumes!$A$2:$A$101,0))</f>
        <v>6-month gap (exam preparation)</v>
      </c>
      <c r="F94" s="24">
        <f>'Scored Shortlist'!I52</f>
        <v>45</v>
      </c>
      <c r="G94" s="24">
        <f>'Scored Shortlist'!G52</f>
        <v>8</v>
      </c>
      <c r="H94" s="24" t="str">
        <f>'Scored Shortlist'!J52</f>
        <v>Not shortlisted</v>
      </c>
      <c r="I94" s="24">
        <f t="shared" si="5"/>
        <v>0</v>
      </c>
      <c r="J94" s="24">
        <f t="shared" si="6"/>
        <v>-5</v>
      </c>
      <c r="K94" s="24">
        <f t="shared" si="7"/>
        <v>40</v>
      </c>
      <c r="L94" s="24" t="str">
        <f t="shared" si="8"/>
        <v>Not shortlisted</v>
      </c>
      <c r="M94" s="24">
        <f t="shared" si="9"/>
        <v>0</v>
      </c>
    </row>
    <row r="95" spans="1:13" x14ac:dyDescent="0.25">
      <c r="A95" s="24" t="str">
        <f>'Scored Shortlist'!A53</f>
        <v>CV053</v>
      </c>
      <c r="B95" s="24" t="str">
        <f>'Scored Shortlist'!C53</f>
        <v>JD3</v>
      </c>
      <c r="C95" s="24" t="str">
        <f>INDEX(Resumes!$C$2:$C$101,MATCH(A95,Resumes!$A$2:$A$101,0))</f>
        <v>Male</v>
      </c>
      <c r="D95" s="24" t="str">
        <f>INDEX(Resumes!$F$2:$F$101,MATCH(A95,Resumes!$A$2:$A$101,0))</f>
        <v>Tier-1 institute</v>
      </c>
      <c r="E95" s="24" t="str">
        <f>INDEX(Resumes!$H$2:$H$101,MATCH(A95,Resumes!$A$2:$A$101,0))</f>
        <v>None</v>
      </c>
      <c r="F95" s="24">
        <f>'Scored Shortlist'!I53</f>
        <v>45</v>
      </c>
      <c r="G95" s="24">
        <f>'Scored Shortlist'!G53</f>
        <v>0</v>
      </c>
      <c r="H95" s="24" t="str">
        <f>'Scored Shortlist'!J53</f>
        <v>Not shortlisted</v>
      </c>
      <c r="I95" s="24">
        <f t="shared" si="5"/>
        <v>5</v>
      </c>
      <c r="J95" s="24">
        <f t="shared" si="6"/>
        <v>0</v>
      </c>
      <c r="K95" s="24">
        <f t="shared" si="7"/>
        <v>50</v>
      </c>
      <c r="L95" s="24" t="str">
        <f t="shared" si="8"/>
        <v>Not shortlisted</v>
      </c>
      <c r="M95" s="24">
        <f t="shared" si="9"/>
        <v>0</v>
      </c>
    </row>
    <row r="96" spans="1:13" x14ac:dyDescent="0.25">
      <c r="A96" s="24" t="str">
        <f>'Scored Shortlist'!A54</f>
        <v>CV008</v>
      </c>
      <c r="B96" s="24" t="str">
        <f>'Scored Shortlist'!C54</f>
        <v>JD3</v>
      </c>
      <c r="C96" s="24" t="str">
        <f>INDEX(Resumes!$C$2:$C$101,MATCH(A96,Resumes!$A$2:$A$101,0))</f>
        <v>Female</v>
      </c>
      <c r="D96" s="24" t="str">
        <f>INDEX(Resumes!$F$2:$F$101,MATCH(A96,Resumes!$A$2:$A$101,0))</f>
        <v>Tier-3 institute</v>
      </c>
      <c r="E96" s="24" t="str">
        <f>INDEX(Resumes!$H$2:$H$101,MATCH(A96,Resumes!$A$2:$A$101,0))</f>
        <v>None</v>
      </c>
      <c r="F96" s="24">
        <f>'Scored Shortlist'!I54</f>
        <v>44</v>
      </c>
      <c r="G96" s="24">
        <f>'Scored Shortlist'!G54</f>
        <v>4</v>
      </c>
      <c r="H96" s="24" t="str">
        <f>'Scored Shortlist'!J54</f>
        <v>Not shortlisted</v>
      </c>
      <c r="I96" s="24">
        <f t="shared" si="5"/>
        <v>-5</v>
      </c>
      <c r="J96" s="24">
        <f t="shared" si="6"/>
        <v>0</v>
      </c>
      <c r="K96" s="24">
        <f t="shared" si="7"/>
        <v>39</v>
      </c>
      <c r="L96" s="24" t="str">
        <f t="shared" si="8"/>
        <v>Not shortlisted</v>
      </c>
      <c r="M96" s="24">
        <f t="shared" si="9"/>
        <v>0</v>
      </c>
    </row>
    <row r="97" spans="1:13" x14ac:dyDescent="0.25">
      <c r="A97" s="24" t="str">
        <f>'Scored Shortlist'!A55</f>
        <v>CV021</v>
      </c>
      <c r="B97" s="24" t="str">
        <f>'Scored Shortlist'!C55</f>
        <v>JD3</v>
      </c>
      <c r="C97" s="24" t="str">
        <f>INDEX(Resumes!$C$2:$C$101,MATCH(A97,Resumes!$A$2:$A$101,0))</f>
        <v>Female</v>
      </c>
      <c r="D97" s="24" t="str">
        <f>INDEX(Resumes!$F$2:$F$101,MATCH(A97,Resumes!$A$2:$A$101,0))</f>
        <v>Tier-1 institute</v>
      </c>
      <c r="E97" s="24" t="str">
        <f>INDEX(Resumes!$H$2:$H$101,MATCH(A97,Resumes!$A$2:$A$101,0))</f>
        <v>None</v>
      </c>
      <c r="F97" s="24">
        <f>'Scored Shortlist'!I55</f>
        <v>44</v>
      </c>
      <c r="G97" s="24">
        <f>'Scored Shortlist'!G55</f>
        <v>8</v>
      </c>
      <c r="H97" s="24" t="str">
        <f>'Scored Shortlist'!J55</f>
        <v>Not shortlisted</v>
      </c>
      <c r="I97" s="24">
        <f t="shared" si="5"/>
        <v>5</v>
      </c>
      <c r="J97" s="24">
        <f t="shared" si="6"/>
        <v>0</v>
      </c>
      <c r="K97" s="24">
        <f t="shared" si="7"/>
        <v>49</v>
      </c>
      <c r="L97" s="24" t="str">
        <f t="shared" si="8"/>
        <v>Not shortlisted</v>
      </c>
      <c r="M97" s="24">
        <f t="shared" si="9"/>
        <v>0</v>
      </c>
    </row>
    <row r="98" spans="1:13" x14ac:dyDescent="0.25">
      <c r="A98" s="24" t="str">
        <f>'Scored Shortlist'!A56</f>
        <v>CV085</v>
      </c>
      <c r="B98" s="24" t="str">
        <f>'Scored Shortlist'!C56</f>
        <v>JD3</v>
      </c>
      <c r="C98" s="24" t="str">
        <f>INDEX(Resumes!$C$2:$C$101,MATCH(A98,Resumes!$A$2:$A$101,0))</f>
        <v>Female</v>
      </c>
      <c r="D98" s="24" t="str">
        <f>INDEX(Resumes!$F$2:$F$101,MATCH(A98,Resumes!$A$2:$A$101,0))</f>
        <v>Tier-1 institute</v>
      </c>
      <c r="E98" s="24" t="str">
        <f>INDEX(Resumes!$H$2:$H$101,MATCH(A98,Resumes!$A$2:$A$101,0))</f>
        <v>1-year career break (family)</v>
      </c>
      <c r="F98" s="24">
        <f>'Scored Shortlist'!I56</f>
        <v>44</v>
      </c>
      <c r="G98" s="24">
        <f>'Scored Shortlist'!G56</f>
        <v>20</v>
      </c>
      <c r="H98" s="24" t="str">
        <f>'Scored Shortlist'!J56</f>
        <v>Not shortlisted</v>
      </c>
      <c r="I98" s="24">
        <f t="shared" si="5"/>
        <v>5</v>
      </c>
      <c r="J98" s="24">
        <f t="shared" si="6"/>
        <v>-5</v>
      </c>
      <c r="K98" s="24">
        <f t="shared" si="7"/>
        <v>44</v>
      </c>
      <c r="L98" s="24" t="str">
        <f t="shared" si="8"/>
        <v>Not shortlisted</v>
      </c>
      <c r="M98" s="24">
        <f t="shared" si="9"/>
        <v>0</v>
      </c>
    </row>
    <row r="99" spans="1:13" x14ac:dyDescent="0.25">
      <c r="A99" s="24" t="str">
        <f>'Scored Shortlist'!A57</f>
        <v>CV013</v>
      </c>
      <c r="B99" s="24" t="str">
        <f>'Scored Shortlist'!C57</f>
        <v>JD3</v>
      </c>
      <c r="C99" s="24" t="str">
        <f>INDEX(Resumes!$C$2:$C$101,MATCH(A99,Resumes!$A$2:$A$101,0))</f>
        <v>Male</v>
      </c>
      <c r="D99" s="24" t="str">
        <f>INDEX(Resumes!$F$2:$F$101,MATCH(A99,Resumes!$A$2:$A$101,0))</f>
        <v>Tier-2 institute</v>
      </c>
      <c r="E99" s="24" t="str">
        <f>INDEX(Resumes!$H$2:$H$101,MATCH(A99,Resumes!$A$2:$A$101,0))</f>
        <v>None</v>
      </c>
      <c r="F99" s="24">
        <f>'Scored Shortlist'!I57</f>
        <v>43</v>
      </c>
      <c r="G99" s="24">
        <f>'Scored Shortlist'!G57</f>
        <v>8</v>
      </c>
      <c r="H99" s="24" t="str">
        <f>'Scored Shortlist'!J57</f>
        <v>Not shortlisted</v>
      </c>
      <c r="I99" s="24">
        <f t="shared" si="5"/>
        <v>0</v>
      </c>
      <c r="J99" s="24">
        <f t="shared" si="6"/>
        <v>0</v>
      </c>
      <c r="K99" s="24">
        <f t="shared" si="7"/>
        <v>43</v>
      </c>
      <c r="L99" s="24" t="str">
        <f t="shared" si="8"/>
        <v>Not shortlisted</v>
      </c>
      <c r="M99" s="24">
        <f t="shared" si="9"/>
        <v>0</v>
      </c>
    </row>
    <row r="100" spans="1:13" x14ac:dyDescent="0.25">
      <c r="A100" s="24" t="str">
        <f>'Scored Shortlist'!A58</f>
        <v>CV042</v>
      </c>
      <c r="B100" s="24" t="str">
        <f>'Scored Shortlist'!C58</f>
        <v>JD3</v>
      </c>
      <c r="C100" s="24" t="str">
        <f>INDEX(Resumes!$C$2:$C$101,MATCH(A100,Resumes!$A$2:$A$101,0))</f>
        <v>Female</v>
      </c>
      <c r="D100" s="24" t="str">
        <f>INDEX(Resumes!$F$2:$F$101,MATCH(A100,Resumes!$A$2:$A$101,0))</f>
        <v>Tier-2 institute</v>
      </c>
      <c r="E100" s="24" t="str">
        <f>INDEX(Resumes!$H$2:$H$101,MATCH(A100,Resumes!$A$2:$A$101,0))</f>
        <v>None</v>
      </c>
      <c r="F100" s="24">
        <f>'Scored Shortlist'!I58</f>
        <v>43</v>
      </c>
      <c r="G100" s="24">
        <f>'Scored Shortlist'!G58</f>
        <v>8</v>
      </c>
      <c r="H100" s="24" t="str">
        <f>'Scored Shortlist'!J58</f>
        <v>Not shortlisted</v>
      </c>
      <c r="I100" s="24">
        <f t="shared" si="5"/>
        <v>0</v>
      </c>
      <c r="J100" s="24">
        <f t="shared" si="6"/>
        <v>0</v>
      </c>
      <c r="K100" s="24">
        <f t="shared" si="7"/>
        <v>43</v>
      </c>
      <c r="L100" s="24" t="str">
        <f t="shared" si="8"/>
        <v>Not shortlisted</v>
      </c>
      <c r="M100" s="24">
        <f t="shared" si="9"/>
        <v>0</v>
      </c>
    </row>
    <row r="101" spans="1:13" x14ac:dyDescent="0.25">
      <c r="A101" s="24" t="str">
        <f>'Scored Shortlist'!A59</f>
        <v>CV046</v>
      </c>
      <c r="B101" s="24" t="str">
        <f>'Scored Shortlist'!C59</f>
        <v>JD3</v>
      </c>
      <c r="C101" s="24" t="str">
        <f>INDEX(Resumes!$C$2:$C$101,MATCH(A101,Resumes!$A$2:$A$101,0))</f>
        <v>Female</v>
      </c>
      <c r="D101" s="24" t="str">
        <f>INDEX(Resumes!$F$2:$F$101,MATCH(A101,Resumes!$A$2:$A$101,0))</f>
        <v>Tier-3 institute</v>
      </c>
      <c r="E101" s="24" t="str">
        <f>INDEX(Resumes!$H$2:$H$101,MATCH(A101,Resumes!$A$2:$A$101,0))</f>
        <v>None</v>
      </c>
      <c r="F101" s="24">
        <f>'Scored Shortlist'!I59</f>
        <v>43</v>
      </c>
      <c r="G101" s="24">
        <f>'Scored Shortlist'!G59</f>
        <v>8</v>
      </c>
      <c r="H101" s="24" t="str">
        <f>'Scored Shortlist'!J59</f>
        <v>Not shortlisted</v>
      </c>
      <c r="I101" s="24">
        <f t="shared" si="5"/>
        <v>-5</v>
      </c>
      <c r="J101" s="24">
        <f t="shared" si="6"/>
        <v>0</v>
      </c>
      <c r="K101" s="24">
        <f t="shared" si="7"/>
        <v>38</v>
      </c>
      <c r="L101" s="24" t="str">
        <f t="shared" si="8"/>
        <v>Not shortlisted</v>
      </c>
      <c r="M101" s="24">
        <f t="shared" si="9"/>
        <v>0</v>
      </c>
    </row>
    <row r="102" spans="1:13" x14ac:dyDescent="0.25">
      <c r="A102" s="24" t="str">
        <f>'Scored Shortlist'!A60</f>
        <v>CV050</v>
      </c>
      <c r="B102" s="24" t="str">
        <f>'Scored Shortlist'!C60</f>
        <v>JD3</v>
      </c>
      <c r="C102" s="24" t="str">
        <f>INDEX(Resumes!$C$2:$C$101,MATCH(A102,Resumes!$A$2:$A$101,0))</f>
        <v>Male</v>
      </c>
      <c r="D102" s="24" t="str">
        <f>INDEX(Resumes!$F$2:$F$101,MATCH(A102,Resumes!$A$2:$A$101,0))</f>
        <v>Tier-2 institute</v>
      </c>
      <c r="E102" s="24" t="str">
        <f>INDEX(Resumes!$H$2:$H$101,MATCH(A102,Resumes!$A$2:$A$101,0))</f>
        <v>6-month gap (exam preparation)</v>
      </c>
      <c r="F102" s="24">
        <f>'Scored Shortlist'!I60</f>
        <v>43</v>
      </c>
      <c r="G102" s="24">
        <f>'Scored Shortlist'!G60</f>
        <v>12</v>
      </c>
      <c r="H102" s="24" t="str">
        <f>'Scored Shortlist'!J60</f>
        <v>Not shortlisted</v>
      </c>
      <c r="I102" s="24">
        <f t="shared" si="5"/>
        <v>0</v>
      </c>
      <c r="J102" s="24">
        <f t="shared" si="6"/>
        <v>-5</v>
      </c>
      <c r="K102" s="24">
        <f t="shared" si="7"/>
        <v>38</v>
      </c>
      <c r="L102" s="24" t="str">
        <f t="shared" si="8"/>
        <v>Not shortlisted</v>
      </c>
      <c r="M102" s="24">
        <f t="shared" si="9"/>
        <v>0</v>
      </c>
    </row>
    <row r="103" spans="1:13" x14ac:dyDescent="0.25">
      <c r="A103" s="24" t="str">
        <f>'Scored Shortlist'!A61</f>
        <v>CV054</v>
      </c>
      <c r="B103" s="24" t="str">
        <f>'Scored Shortlist'!C61</f>
        <v>JD3</v>
      </c>
      <c r="C103" s="24" t="str">
        <f>INDEX(Resumes!$C$2:$C$101,MATCH(A103,Resumes!$A$2:$A$101,0))</f>
        <v>Female</v>
      </c>
      <c r="D103" s="24" t="str">
        <f>INDEX(Resumes!$F$2:$F$101,MATCH(A103,Resumes!$A$2:$A$101,0))</f>
        <v>Tier-1 institute</v>
      </c>
      <c r="E103" s="24" t="str">
        <f>INDEX(Resumes!$H$2:$H$101,MATCH(A103,Resumes!$A$2:$A$101,0))</f>
        <v>None</v>
      </c>
      <c r="F103" s="24">
        <f>'Scored Shortlist'!I61</f>
        <v>43</v>
      </c>
      <c r="G103" s="24">
        <f>'Scored Shortlist'!G61</f>
        <v>16</v>
      </c>
      <c r="H103" s="24" t="str">
        <f>'Scored Shortlist'!J61</f>
        <v>Not shortlisted</v>
      </c>
      <c r="I103" s="24">
        <f t="shared" si="5"/>
        <v>5</v>
      </c>
      <c r="J103" s="24">
        <f t="shared" si="6"/>
        <v>0</v>
      </c>
      <c r="K103" s="24">
        <f t="shared" si="7"/>
        <v>48</v>
      </c>
      <c r="L103" s="24" t="str">
        <f t="shared" si="8"/>
        <v>Not shortlisted</v>
      </c>
      <c r="M103" s="24">
        <f t="shared" si="9"/>
        <v>0</v>
      </c>
    </row>
    <row r="104" spans="1:13" x14ac:dyDescent="0.25">
      <c r="A104" s="24" t="str">
        <f>'Scored Shortlist'!A62</f>
        <v>CV075</v>
      </c>
      <c r="B104" s="24" t="str">
        <f>'Scored Shortlist'!C62</f>
        <v>JD3</v>
      </c>
      <c r="C104" s="24" t="str">
        <f>INDEX(Resumes!$C$2:$C$101,MATCH(A104,Resumes!$A$2:$A$101,0))</f>
        <v>Male</v>
      </c>
      <c r="D104" s="24" t="str">
        <f>INDEX(Resumes!$F$2:$F$101,MATCH(A104,Resumes!$A$2:$A$101,0))</f>
        <v>Tier-3 institute</v>
      </c>
      <c r="E104" s="24" t="str">
        <f>INDEX(Resumes!$H$2:$H$101,MATCH(A104,Resumes!$A$2:$A$101,0))</f>
        <v>6-month gap (exam preparation)</v>
      </c>
      <c r="F104" s="24">
        <f>'Scored Shortlist'!I62</f>
        <v>43</v>
      </c>
      <c r="G104" s="24">
        <f>'Scored Shortlist'!G62</f>
        <v>16</v>
      </c>
      <c r="H104" s="24" t="str">
        <f>'Scored Shortlist'!J62</f>
        <v>Not shortlisted</v>
      </c>
      <c r="I104" s="24">
        <f t="shared" si="5"/>
        <v>-5</v>
      </c>
      <c r="J104" s="24">
        <f t="shared" si="6"/>
        <v>-5</v>
      </c>
      <c r="K104" s="24">
        <f t="shared" si="7"/>
        <v>33</v>
      </c>
      <c r="L104" s="24" t="str">
        <f t="shared" si="8"/>
        <v>Not shortlisted</v>
      </c>
      <c r="M104" s="24">
        <f t="shared" si="9"/>
        <v>0</v>
      </c>
    </row>
    <row r="105" spans="1:13" x14ac:dyDescent="0.25">
      <c r="A105" s="24" t="str">
        <f>'Scored Shortlist'!A63</f>
        <v>CV081</v>
      </c>
      <c r="B105" s="24" t="str">
        <f>'Scored Shortlist'!C63</f>
        <v>JD3</v>
      </c>
      <c r="C105" s="24" t="str">
        <f>INDEX(Resumes!$C$2:$C$101,MATCH(A105,Resumes!$A$2:$A$101,0))</f>
        <v>Male</v>
      </c>
      <c r="D105" s="24" t="str">
        <f>INDEX(Resumes!$F$2:$F$101,MATCH(A105,Resumes!$A$2:$A$101,0))</f>
        <v>Tier-2 institute</v>
      </c>
      <c r="E105" s="24" t="str">
        <f>INDEX(Resumes!$H$2:$H$101,MATCH(A105,Resumes!$A$2:$A$101,0))</f>
        <v>None</v>
      </c>
      <c r="F105" s="24">
        <f>'Scored Shortlist'!I63</f>
        <v>43</v>
      </c>
      <c r="G105" s="24">
        <f>'Scored Shortlist'!G63</f>
        <v>8</v>
      </c>
      <c r="H105" s="24" t="str">
        <f>'Scored Shortlist'!J63</f>
        <v>Not shortlisted</v>
      </c>
      <c r="I105" s="24">
        <f t="shared" si="5"/>
        <v>0</v>
      </c>
      <c r="J105" s="24">
        <f t="shared" si="6"/>
        <v>0</v>
      </c>
      <c r="K105" s="24">
        <f t="shared" si="7"/>
        <v>43</v>
      </c>
      <c r="L105" s="24" t="str">
        <f t="shared" si="8"/>
        <v>Not shortlisted</v>
      </c>
      <c r="M105" s="24">
        <f t="shared" si="9"/>
        <v>0</v>
      </c>
    </row>
    <row r="106" spans="1:13" x14ac:dyDescent="0.25">
      <c r="A106" s="24" t="str">
        <f>'Scored Shortlist'!A64</f>
        <v>CV012</v>
      </c>
      <c r="B106" s="24" t="str">
        <f>'Scored Shortlist'!C64</f>
        <v>JD3</v>
      </c>
      <c r="C106" s="24" t="str">
        <f>INDEX(Resumes!$C$2:$C$101,MATCH(A106,Resumes!$A$2:$A$101,0))</f>
        <v>Female</v>
      </c>
      <c r="D106" s="24" t="str">
        <f>INDEX(Resumes!$F$2:$F$101,MATCH(A106,Resumes!$A$2:$A$101,0))</f>
        <v>Tier-2 institute</v>
      </c>
      <c r="E106" s="24" t="str">
        <f>INDEX(Resumes!$H$2:$H$101,MATCH(A106,Resumes!$A$2:$A$101,0))</f>
        <v>None</v>
      </c>
      <c r="F106" s="24">
        <f>'Scored Shortlist'!I64</f>
        <v>42</v>
      </c>
      <c r="G106" s="24">
        <f>'Scored Shortlist'!G64</f>
        <v>12</v>
      </c>
      <c r="H106" s="24" t="str">
        <f>'Scored Shortlist'!J64</f>
        <v>Not shortlisted</v>
      </c>
      <c r="I106" s="24">
        <f t="shared" si="5"/>
        <v>0</v>
      </c>
      <c r="J106" s="24">
        <f t="shared" si="6"/>
        <v>0</v>
      </c>
      <c r="K106" s="24">
        <f t="shared" si="7"/>
        <v>42</v>
      </c>
      <c r="L106" s="24" t="str">
        <f t="shared" si="8"/>
        <v>Not shortlisted</v>
      </c>
      <c r="M106" s="24">
        <f t="shared" si="9"/>
        <v>0</v>
      </c>
    </row>
    <row r="107" spans="1:13" x14ac:dyDescent="0.25">
      <c r="A107" s="24" t="str">
        <f>'Scored Shortlist'!A65</f>
        <v>CV014</v>
      </c>
      <c r="B107" s="24" t="str">
        <f>'Scored Shortlist'!C65</f>
        <v>JD3</v>
      </c>
      <c r="C107" s="24" t="str">
        <f>INDEX(Resumes!$C$2:$C$101,MATCH(A107,Resumes!$A$2:$A$101,0))</f>
        <v>Female</v>
      </c>
      <c r="D107" s="24" t="str">
        <f>INDEX(Resumes!$F$2:$F$101,MATCH(A107,Resumes!$A$2:$A$101,0))</f>
        <v>Tier-3 institute</v>
      </c>
      <c r="E107" s="24" t="str">
        <f>INDEX(Resumes!$H$2:$H$101,MATCH(A107,Resumes!$A$2:$A$101,0))</f>
        <v>None</v>
      </c>
      <c r="F107" s="24">
        <f>'Scored Shortlist'!I65</f>
        <v>42</v>
      </c>
      <c r="G107" s="24">
        <f>'Scored Shortlist'!G65</f>
        <v>4</v>
      </c>
      <c r="H107" s="24" t="str">
        <f>'Scored Shortlist'!J65</f>
        <v>Not shortlisted</v>
      </c>
      <c r="I107" s="24">
        <f t="shared" si="5"/>
        <v>-5</v>
      </c>
      <c r="J107" s="24">
        <f t="shared" si="6"/>
        <v>0</v>
      </c>
      <c r="K107" s="24">
        <f t="shared" si="7"/>
        <v>37</v>
      </c>
      <c r="L107" s="24" t="str">
        <f t="shared" si="8"/>
        <v>Not shortlisted</v>
      </c>
      <c r="M107" s="24">
        <f t="shared" si="9"/>
        <v>0</v>
      </c>
    </row>
    <row r="108" spans="1:13" x14ac:dyDescent="0.25">
      <c r="A108" s="24" t="str">
        <f>'Scored Shortlist'!A66</f>
        <v>CV027</v>
      </c>
      <c r="B108" s="24" t="str">
        <f>'Scored Shortlist'!C66</f>
        <v>JD3</v>
      </c>
      <c r="C108" s="24" t="str">
        <f>INDEX(Resumes!$C$2:$C$101,MATCH(A108,Resumes!$A$2:$A$101,0))</f>
        <v>Male</v>
      </c>
      <c r="D108" s="24" t="str">
        <f>INDEX(Resumes!$F$2:$F$101,MATCH(A108,Resumes!$A$2:$A$101,0))</f>
        <v>Tier-2 institute</v>
      </c>
      <c r="E108" s="24" t="str">
        <f>INDEX(Resumes!$H$2:$H$101,MATCH(A108,Resumes!$A$2:$A$101,0))</f>
        <v>1-year career break (family)</v>
      </c>
      <c r="F108" s="24">
        <f>'Scored Shortlist'!I66</f>
        <v>42</v>
      </c>
      <c r="G108" s="24">
        <f>'Scored Shortlist'!G66</f>
        <v>8</v>
      </c>
      <c r="H108" s="24" t="str">
        <f>'Scored Shortlist'!J66</f>
        <v>Not shortlisted</v>
      </c>
      <c r="I108" s="24">
        <f t="shared" si="5"/>
        <v>0</v>
      </c>
      <c r="J108" s="24">
        <f t="shared" si="6"/>
        <v>-5</v>
      </c>
      <c r="K108" s="24">
        <f t="shared" si="7"/>
        <v>37</v>
      </c>
      <c r="L108" s="24" t="str">
        <f t="shared" si="8"/>
        <v>Not shortlisted</v>
      </c>
      <c r="M108" s="24">
        <f t="shared" si="9"/>
        <v>0</v>
      </c>
    </row>
    <row r="109" spans="1:13" x14ac:dyDescent="0.25">
      <c r="A109" s="24" t="str">
        <f>'Scored Shortlist'!A67</f>
        <v>CV035</v>
      </c>
      <c r="B109" s="24" t="str">
        <f>'Scored Shortlist'!C67</f>
        <v>JD3</v>
      </c>
      <c r="C109" s="24" t="str">
        <f>INDEX(Resumes!$C$2:$C$101,MATCH(A109,Resumes!$A$2:$A$101,0))</f>
        <v>Male</v>
      </c>
      <c r="D109" s="24" t="str">
        <f>INDEX(Resumes!$F$2:$F$101,MATCH(A109,Resumes!$A$2:$A$101,0))</f>
        <v>Tier-2 institute</v>
      </c>
      <c r="E109" s="24" t="str">
        <f>INDEX(Resumes!$H$2:$H$101,MATCH(A109,Resumes!$A$2:$A$101,0))</f>
        <v>None</v>
      </c>
      <c r="F109" s="24">
        <f>'Scored Shortlist'!I67</f>
        <v>42</v>
      </c>
      <c r="G109" s="24">
        <f>'Scored Shortlist'!G67</f>
        <v>12</v>
      </c>
      <c r="H109" s="24" t="str">
        <f>'Scored Shortlist'!J67</f>
        <v>Not shortlisted</v>
      </c>
      <c r="I109" s="24">
        <f t="shared" si="5"/>
        <v>0</v>
      </c>
      <c r="J109" s="24">
        <f t="shared" si="6"/>
        <v>0</v>
      </c>
      <c r="K109" s="24">
        <f t="shared" si="7"/>
        <v>42</v>
      </c>
      <c r="L109" s="24" t="str">
        <f t="shared" si="8"/>
        <v>Not shortlisted</v>
      </c>
      <c r="M109" s="24">
        <f t="shared" si="9"/>
        <v>0</v>
      </c>
    </row>
    <row r="110" spans="1:13" x14ac:dyDescent="0.25">
      <c r="A110" s="24" t="str">
        <f>'Scored Shortlist'!A68</f>
        <v>CV038</v>
      </c>
      <c r="B110" s="24" t="str">
        <f>'Scored Shortlist'!C68</f>
        <v>JD3</v>
      </c>
      <c r="C110" s="24" t="str">
        <f>INDEX(Resumes!$C$2:$C$101,MATCH(A110,Resumes!$A$2:$A$101,0))</f>
        <v>Male</v>
      </c>
      <c r="D110" s="24" t="str">
        <f>INDEX(Resumes!$F$2:$F$101,MATCH(A110,Resumes!$A$2:$A$101,0))</f>
        <v>Tier-2 institute</v>
      </c>
      <c r="E110" s="24" t="str">
        <f>INDEX(Resumes!$H$2:$H$101,MATCH(A110,Resumes!$A$2:$A$101,0))</f>
        <v>1-year career break (family)</v>
      </c>
      <c r="F110" s="24">
        <f>'Scored Shortlist'!I68</f>
        <v>42</v>
      </c>
      <c r="G110" s="24">
        <f>'Scored Shortlist'!G68</f>
        <v>4</v>
      </c>
      <c r="H110" s="24" t="str">
        <f>'Scored Shortlist'!J68</f>
        <v>Not shortlisted</v>
      </c>
      <c r="I110" s="24">
        <f t="shared" ref="I110:I141" si="10">IF(D110="Tier-1 institute",$B$16,IF(D110="Tier-3 institute",$B$17,0))</f>
        <v>0</v>
      </c>
      <c r="J110" s="24">
        <f t="shared" ref="J110:J141" si="11">IF(E110="None",0,$B$18)</f>
        <v>-5</v>
      </c>
      <c r="K110" s="24">
        <f t="shared" ref="K110:K141" si="12">F110+I110+J110</f>
        <v>37</v>
      </c>
      <c r="L110" s="24" t="str">
        <f t="shared" ref="L110:L141" si="13">IF(AND(K110&gt;=SL_CUT,G110&gt;=SL_SKILL),"Shortlist",IF(AND(K110&gt;=RV_CUT,G110&gt;=RV_SKILL),"Review","Not shortlisted"))</f>
        <v>Not shortlisted</v>
      </c>
      <c r="M110" s="24">
        <f t="shared" ref="M110:M141" si="14">IF(H110&lt;&gt;L110,1,0)</f>
        <v>0</v>
      </c>
    </row>
    <row r="111" spans="1:13" x14ac:dyDescent="0.25">
      <c r="A111" s="24" t="str">
        <f>'Scored Shortlist'!A69</f>
        <v>CV060</v>
      </c>
      <c r="B111" s="24" t="str">
        <f>'Scored Shortlist'!C69</f>
        <v>JD3</v>
      </c>
      <c r="C111" s="24" t="str">
        <f>INDEX(Resumes!$C$2:$C$101,MATCH(A111,Resumes!$A$2:$A$101,0))</f>
        <v>Male</v>
      </c>
      <c r="D111" s="24" t="str">
        <f>INDEX(Resumes!$F$2:$F$101,MATCH(A111,Resumes!$A$2:$A$101,0))</f>
        <v>Tier-2 institute</v>
      </c>
      <c r="E111" s="24" t="str">
        <f>INDEX(Resumes!$H$2:$H$101,MATCH(A111,Resumes!$A$2:$A$101,0))</f>
        <v>None</v>
      </c>
      <c r="F111" s="24">
        <f>'Scored Shortlist'!I69</f>
        <v>42</v>
      </c>
      <c r="G111" s="24">
        <f>'Scored Shortlist'!G69</f>
        <v>8</v>
      </c>
      <c r="H111" s="24" t="str">
        <f>'Scored Shortlist'!J69</f>
        <v>Not shortlisted</v>
      </c>
      <c r="I111" s="24">
        <f t="shared" si="10"/>
        <v>0</v>
      </c>
      <c r="J111" s="24">
        <f t="shared" si="11"/>
        <v>0</v>
      </c>
      <c r="K111" s="24">
        <f t="shared" si="12"/>
        <v>42</v>
      </c>
      <c r="L111" s="24" t="str">
        <f t="shared" si="13"/>
        <v>Not shortlisted</v>
      </c>
      <c r="M111" s="24">
        <f t="shared" si="14"/>
        <v>0</v>
      </c>
    </row>
    <row r="112" spans="1:13" x14ac:dyDescent="0.25">
      <c r="A112" s="24" t="str">
        <f>'Scored Shortlist'!A70</f>
        <v>CV093</v>
      </c>
      <c r="B112" s="24" t="str">
        <f>'Scored Shortlist'!C70</f>
        <v>JD3</v>
      </c>
      <c r="C112" s="24" t="str">
        <f>INDEX(Resumes!$C$2:$C$101,MATCH(A112,Resumes!$A$2:$A$101,0))</f>
        <v>Male</v>
      </c>
      <c r="D112" s="24" t="str">
        <f>INDEX(Resumes!$F$2:$F$101,MATCH(A112,Resumes!$A$2:$A$101,0))</f>
        <v>Tier-3 institute</v>
      </c>
      <c r="E112" s="24" t="str">
        <f>INDEX(Resumes!$H$2:$H$101,MATCH(A112,Resumes!$A$2:$A$101,0))</f>
        <v>6-month gap (exam preparation)</v>
      </c>
      <c r="F112" s="24">
        <f>'Scored Shortlist'!I70</f>
        <v>42</v>
      </c>
      <c r="G112" s="24">
        <f>'Scored Shortlist'!G70</f>
        <v>8</v>
      </c>
      <c r="H112" s="24" t="str">
        <f>'Scored Shortlist'!J70</f>
        <v>Not shortlisted</v>
      </c>
      <c r="I112" s="24">
        <f t="shared" si="10"/>
        <v>-5</v>
      </c>
      <c r="J112" s="24">
        <f t="shared" si="11"/>
        <v>-5</v>
      </c>
      <c r="K112" s="24">
        <f t="shared" si="12"/>
        <v>32</v>
      </c>
      <c r="L112" s="24" t="str">
        <f t="shared" si="13"/>
        <v>Not shortlisted</v>
      </c>
      <c r="M112" s="24">
        <f t="shared" si="14"/>
        <v>0</v>
      </c>
    </row>
    <row r="113" spans="1:13" x14ac:dyDescent="0.25">
      <c r="A113" s="24" t="str">
        <f>'Scored Shortlist'!A71</f>
        <v>CV098</v>
      </c>
      <c r="B113" s="24" t="str">
        <f>'Scored Shortlist'!C71</f>
        <v>JD3</v>
      </c>
      <c r="C113" s="24" t="str">
        <f>INDEX(Resumes!$C$2:$C$101,MATCH(A113,Resumes!$A$2:$A$101,0))</f>
        <v>Female</v>
      </c>
      <c r="D113" s="24" t="str">
        <f>INDEX(Resumes!$F$2:$F$101,MATCH(A113,Resumes!$A$2:$A$101,0))</f>
        <v>Tier-3 institute</v>
      </c>
      <c r="E113" s="24" t="str">
        <f>INDEX(Resumes!$H$2:$H$101,MATCH(A113,Resumes!$A$2:$A$101,0))</f>
        <v>None</v>
      </c>
      <c r="F113" s="24">
        <f>'Scored Shortlist'!I71</f>
        <v>42</v>
      </c>
      <c r="G113" s="24">
        <f>'Scored Shortlist'!G71</f>
        <v>12</v>
      </c>
      <c r="H113" s="24" t="str">
        <f>'Scored Shortlist'!J71</f>
        <v>Not shortlisted</v>
      </c>
      <c r="I113" s="24">
        <f t="shared" si="10"/>
        <v>-5</v>
      </c>
      <c r="J113" s="24">
        <f t="shared" si="11"/>
        <v>0</v>
      </c>
      <c r="K113" s="24">
        <f t="shared" si="12"/>
        <v>37</v>
      </c>
      <c r="L113" s="24" t="str">
        <f t="shared" si="13"/>
        <v>Not shortlisted</v>
      </c>
      <c r="M113" s="24">
        <f t="shared" si="14"/>
        <v>0</v>
      </c>
    </row>
    <row r="114" spans="1:13" x14ac:dyDescent="0.25">
      <c r="A114" s="24" t="str">
        <f>'Scored Shortlist'!A72</f>
        <v>CV023</v>
      </c>
      <c r="B114" s="24" t="str">
        <f>'Scored Shortlist'!C72</f>
        <v>JD3</v>
      </c>
      <c r="C114" s="24" t="str">
        <f>INDEX(Resumes!$C$2:$C$101,MATCH(A114,Resumes!$A$2:$A$101,0))</f>
        <v>Male</v>
      </c>
      <c r="D114" s="24" t="str">
        <f>INDEX(Resumes!$F$2:$F$101,MATCH(A114,Resumes!$A$2:$A$101,0))</f>
        <v>Tier-3 institute</v>
      </c>
      <c r="E114" s="24" t="str">
        <f>INDEX(Resumes!$H$2:$H$101,MATCH(A114,Resumes!$A$2:$A$101,0))</f>
        <v>None</v>
      </c>
      <c r="F114" s="24">
        <f>'Scored Shortlist'!I72</f>
        <v>41</v>
      </c>
      <c r="G114" s="24">
        <f>'Scored Shortlist'!G72</f>
        <v>8</v>
      </c>
      <c r="H114" s="24" t="str">
        <f>'Scored Shortlist'!J72</f>
        <v>Not shortlisted</v>
      </c>
      <c r="I114" s="24">
        <f t="shared" si="10"/>
        <v>-5</v>
      </c>
      <c r="J114" s="24">
        <f t="shared" si="11"/>
        <v>0</v>
      </c>
      <c r="K114" s="24">
        <f t="shared" si="12"/>
        <v>36</v>
      </c>
      <c r="L114" s="24" t="str">
        <f t="shared" si="13"/>
        <v>Not shortlisted</v>
      </c>
      <c r="M114" s="24">
        <f t="shared" si="14"/>
        <v>0</v>
      </c>
    </row>
    <row r="115" spans="1:13" x14ac:dyDescent="0.25">
      <c r="A115" s="24" t="str">
        <f>'Scored Shortlist'!A73</f>
        <v>CV024</v>
      </c>
      <c r="B115" s="24" t="str">
        <f>'Scored Shortlist'!C73</f>
        <v>JD3</v>
      </c>
      <c r="C115" s="24" t="str">
        <f>INDEX(Resumes!$C$2:$C$101,MATCH(A115,Resumes!$A$2:$A$101,0))</f>
        <v>Female</v>
      </c>
      <c r="D115" s="24" t="str">
        <f>INDEX(Resumes!$F$2:$F$101,MATCH(A115,Resumes!$A$2:$A$101,0))</f>
        <v>Tier-2 institute</v>
      </c>
      <c r="E115" s="24" t="str">
        <f>INDEX(Resumes!$H$2:$H$101,MATCH(A115,Resumes!$A$2:$A$101,0))</f>
        <v>1-year career break (family)</v>
      </c>
      <c r="F115" s="24">
        <f>'Scored Shortlist'!I73</f>
        <v>41</v>
      </c>
      <c r="G115" s="24">
        <f>'Scored Shortlist'!G73</f>
        <v>12</v>
      </c>
      <c r="H115" s="24" t="str">
        <f>'Scored Shortlist'!J73</f>
        <v>Not shortlisted</v>
      </c>
      <c r="I115" s="24">
        <f t="shared" si="10"/>
        <v>0</v>
      </c>
      <c r="J115" s="24">
        <f t="shared" si="11"/>
        <v>-5</v>
      </c>
      <c r="K115" s="24">
        <f t="shared" si="12"/>
        <v>36</v>
      </c>
      <c r="L115" s="24" t="str">
        <f t="shared" si="13"/>
        <v>Not shortlisted</v>
      </c>
      <c r="M115" s="24">
        <f t="shared" si="14"/>
        <v>0</v>
      </c>
    </row>
    <row r="116" spans="1:13" x14ac:dyDescent="0.25">
      <c r="A116" s="24" t="str">
        <f>'Scored Shortlist'!A74</f>
        <v>CV033</v>
      </c>
      <c r="B116" s="24" t="str">
        <f>'Scored Shortlist'!C74</f>
        <v>JD3</v>
      </c>
      <c r="C116" s="24" t="str">
        <f>INDEX(Resumes!$C$2:$C$101,MATCH(A116,Resumes!$A$2:$A$101,0))</f>
        <v>Male</v>
      </c>
      <c r="D116" s="24" t="str">
        <f>INDEX(Resumes!$F$2:$F$101,MATCH(A116,Resumes!$A$2:$A$101,0))</f>
        <v>Tier-2 institute</v>
      </c>
      <c r="E116" s="24" t="str">
        <f>INDEX(Resumes!$H$2:$H$101,MATCH(A116,Resumes!$A$2:$A$101,0))</f>
        <v>None</v>
      </c>
      <c r="F116" s="24">
        <f>'Scored Shortlist'!I74</f>
        <v>40</v>
      </c>
      <c r="G116" s="24">
        <f>'Scored Shortlist'!G74</f>
        <v>0</v>
      </c>
      <c r="H116" s="24" t="str">
        <f>'Scored Shortlist'!J74</f>
        <v>Not shortlisted</v>
      </c>
      <c r="I116" s="24">
        <f t="shared" si="10"/>
        <v>0</v>
      </c>
      <c r="J116" s="24">
        <f t="shared" si="11"/>
        <v>0</v>
      </c>
      <c r="K116" s="24">
        <f t="shared" si="12"/>
        <v>40</v>
      </c>
      <c r="L116" s="24" t="str">
        <f t="shared" si="13"/>
        <v>Not shortlisted</v>
      </c>
      <c r="M116" s="24">
        <f t="shared" si="14"/>
        <v>0</v>
      </c>
    </row>
    <row r="117" spans="1:13" x14ac:dyDescent="0.25">
      <c r="A117" s="24" t="str">
        <f>'Scored Shortlist'!A75</f>
        <v>CV045</v>
      </c>
      <c r="B117" s="24" t="str">
        <f>'Scored Shortlist'!C75</f>
        <v>JD3</v>
      </c>
      <c r="C117" s="24" t="str">
        <f>INDEX(Resumes!$C$2:$C$101,MATCH(A117,Resumes!$A$2:$A$101,0))</f>
        <v>Female</v>
      </c>
      <c r="D117" s="24" t="str">
        <f>INDEX(Resumes!$F$2:$F$101,MATCH(A117,Resumes!$A$2:$A$101,0))</f>
        <v>Tier-2 institute</v>
      </c>
      <c r="E117" s="24" t="str">
        <f>INDEX(Resumes!$H$2:$H$101,MATCH(A117,Resumes!$A$2:$A$101,0))</f>
        <v>6-month gap (exam preparation)</v>
      </c>
      <c r="F117" s="24">
        <f>'Scored Shortlist'!I75</f>
        <v>40</v>
      </c>
      <c r="G117" s="24">
        <f>'Scored Shortlist'!G75</f>
        <v>0</v>
      </c>
      <c r="H117" s="24" t="str">
        <f>'Scored Shortlist'!J75</f>
        <v>Not shortlisted</v>
      </c>
      <c r="I117" s="24">
        <f t="shared" si="10"/>
        <v>0</v>
      </c>
      <c r="J117" s="24">
        <f t="shared" si="11"/>
        <v>-5</v>
      </c>
      <c r="K117" s="24">
        <f t="shared" si="12"/>
        <v>35</v>
      </c>
      <c r="L117" s="24" t="str">
        <f t="shared" si="13"/>
        <v>Not shortlisted</v>
      </c>
      <c r="M117" s="24">
        <f t="shared" si="14"/>
        <v>0</v>
      </c>
    </row>
    <row r="118" spans="1:13" x14ac:dyDescent="0.25">
      <c r="A118" s="24" t="str">
        <f>'Scored Shortlist'!A76</f>
        <v>CV086</v>
      </c>
      <c r="B118" s="24" t="str">
        <f>'Scored Shortlist'!C76</f>
        <v>JD3</v>
      </c>
      <c r="C118" s="24" t="str">
        <f>INDEX(Resumes!$C$2:$C$101,MATCH(A118,Resumes!$A$2:$A$101,0))</f>
        <v>Female</v>
      </c>
      <c r="D118" s="24" t="str">
        <f>INDEX(Resumes!$F$2:$F$101,MATCH(A118,Resumes!$A$2:$A$101,0))</f>
        <v>Tier-2 institute</v>
      </c>
      <c r="E118" s="24" t="str">
        <f>INDEX(Resumes!$H$2:$H$101,MATCH(A118,Resumes!$A$2:$A$101,0))</f>
        <v>None</v>
      </c>
      <c r="F118" s="24">
        <f>'Scored Shortlist'!I76</f>
        <v>40</v>
      </c>
      <c r="G118" s="24">
        <f>'Scored Shortlist'!G76</f>
        <v>4</v>
      </c>
      <c r="H118" s="24" t="str">
        <f>'Scored Shortlist'!J76</f>
        <v>Not shortlisted</v>
      </c>
      <c r="I118" s="24">
        <f t="shared" si="10"/>
        <v>0</v>
      </c>
      <c r="J118" s="24">
        <f t="shared" si="11"/>
        <v>0</v>
      </c>
      <c r="K118" s="24">
        <f t="shared" si="12"/>
        <v>40</v>
      </c>
      <c r="L118" s="24" t="str">
        <f t="shared" si="13"/>
        <v>Not shortlisted</v>
      </c>
      <c r="M118" s="24">
        <f t="shared" si="14"/>
        <v>0</v>
      </c>
    </row>
    <row r="119" spans="1:13" x14ac:dyDescent="0.25">
      <c r="A119" s="24" t="str">
        <f>'Scored Shortlist'!A77</f>
        <v>CV097</v>
      </c>
      <c r="B119" s="24" t="str">
        <f>'Scored Shortlist'!C77</f>
        <v>JD3</v>
      </c>
      <c r="C119" s="24" t="str">
        <f>INDEX(Resumes!$C$2:$C$101,MATCH(A119,Resumes!$A$2:$A$101,0))</f>
        <v>Male</v>
      </c>
      <c r="D119" s="24" t="str">
        <f>INDEX(Resumes!$F$2:$F$101,MATCH(A119,Resumes!$A$2:$A$101,0))</f>
        <v>Tier-2 institute</v>
      </c>
      <c r="E119" s="24" t="str">
        <f>INDEX(Resumes!$H$2:$H$101,MATCH(A119,Resumes!$A$2:$A$101,0))</f>
        <v>None</v>
      </c>
      <c r="F119" s="24">
        <f>'Scored Shortlist'!I77</f>
        <v>40</v>
      </c>
      <c r="G119" s="24">
        <f>'Scored Shortlist'!G77</f>
        <v>16</v>
      </c>
      <c r="H119" s="24" t="str">
        <f>'Scored Shortlist'!J77</f>
        <v>Not shortlisted</v>
      </c>
      <c r="I119" s="24">
        <f t="shared" si="10"/>
        <v>0</v>
      </c>
      <c r="J119" s="24">
        <f t="shared" si="11"/>
        <v>0</v>
      </c>
      <c r="K119" s="24">
        <f t="shared" si="12"/>
        <v>40</v>
      </c>
      <c r="L119" s="24" t="str">
        <f t="shared" si="13"/>
        <v>Not shortlisted</v>
      </c>
      <c r="M119" s="24">
        <f t="shared" si="14"/>
        <v>0</v>
      </c>
    </row>
    <row r="120" spans="1:13" x14ac:dyDescent="0.25">
      <c r="A120" s="24" t="str">
        <f>'Scored Shortlist'!A78</f>
        <v>CV004</v>
      </c>
      <c r="B120" s="24" t="str">
        <f>'Scored Shortlist'!C78</f>
        <v>JD3</v>
      </c>
      <c r="C120" s="24" t="str">
        <f>INDEX(Resumes!$C$2:$C$101,MATCH(A120,Resumes!$A$2:$A$101,0))</f>
        <v>Female</v>
      </c>
      <c r="D120" s="24" t="str">
        <f>INDEX(Resumes!$F$2:$F$101,MATCH(A120,Resumes!$A$2:$A$101,0))</f>
        <v>Tier-2 institute</v>
      </c>
      <c r="E120" s="24" t="str">
        <f>INDEX(Resumes!$H$2:$H$101,MATCH(A120,Resumes!$A$2:$A$101,0))</f>
        <v>None</v>
      </c>
      <c r="F120" s="24">
        <f>'Scored Shortlist'!I78</f>
        <v>38</v>
      </c>
      <c r="G120" s="24">
        <f>'Scored Shortlist'!G78</f>
        <v>8</v>
      </c>
      <c r="H120" s="24" t="str">
        <f>'Scored Shortlist'!J78</f>
        <v>Not shortlisted</v>
      </c>
      <c r="I120" s="24">
        <f t="shared" si="10"/>
        <v>0</v>
      </c>
      <c r="J120" s="24">
        <f t="shared" si="11"/>
        <v>0</v>
      </c>
      <c r="K120" s="24">
        <f t="shared" si="12"/>
        <v>38</v>
      </c>
      <c r="L120" s="24" t="str">
        <f t="shared" si="13"/>
        <v>Not shortlisted</v>
      </c>
      <c r="M120" s="24">
        <f t="shared" si="14"/>
        <v>0</v>
      </c>
    </row>
    <row r="121" spans="1:13" x14ac:dyDescent="0.25">
      <c r="A121" s="24" t="str">
        <f>'Scored Shortlist'!A79</f>
        <v>CV041</v>
      </c>
      <c r="B121" s="24" t="str">
        <f>'Scored Shortlist'!C79</f>
        <v>JD3</v>
      </c>
      <c r="C121" s="24" t="str">
        <f>INDEX(Resumes!$C$2:$C$101,MATCH(A121,Resumes!$A$2:$A$101,0))</f>
        <v>Female</v>
      </c>
      <c r="D121" s="24" t="str">
        <f>INDEX(Resumes!$F$2:$F$101,MATCH(A121,Resumes!$A$2:$A$101,0))</f>
        <v>Tier-3 institute</v>
      </c>
      <c r="E121" s="24" t="str">
        <f>INDEX(Resumes!$H$2:$H$101,MATCH(A121,Resumes!$A$2:$A$101,0))</f>
        <v>None</v>
      </c>
      <c r="F121" s="24">
        <f>'Scored Shortlist'!I79</f>
        <v>38</v>
      </c>
      <c r="G121" s="24">
        <f>'Scored Shortlist'!G79</f>
        <v>8</v>
      </c>
      <c r="H121" s="24" t="str">
        <f>'Scored Shortlist'!J79</f>
        <v>Not shortlisted</v>
      </c>
      <c r="I121" s="24">
        <f t="shared" si="10"/>
        <v>-5</v>
      </c>
      <c r="J121" s="24">
        <f t="shared" si="11"/>
        <v>0</v>
      </c>
      <c r="K121" s="24">
        <f t="shared" si="12"/>
        <v>33</v>
      </c>
      <c r="L121" s="24" t="str">
        <f t="shared" si="13"/>
        <v>Not shortlisted</v>
      </c>
      <c r="M121" s="24">
        <f t="shared" si="14"/>
        <v>0</v>
      </c>
    </row>
    <row r="122" spans="1:13" x14ac:dyDescent="0.25">
      <c r="A122" s="24" t="str">
        <f>'Scored Shortlist'!A80</f>
        <v>CV088</v>
      </c>
      <c r="B122" s="24" t="str">
        <f>'Scored Shortlist'!C80</f>
        <v>JD3</v>
      </c>
      <c r="C122" s="24" t="str">
        <f>INDEX(Resumes!$C$2:$C$101,MATCH(A122,Resumes!$A$2:$A$101,0))</f>
        <v>Male</v>
      </c>
      <c r="D122" s="24" t="str">
        <f>INDEX(Resumes!$F$2:$F$101,MATCH(A122,Resumes!$A$2:$A$101,0))</f>
        <v>Tier-2 institute</v>
      </c>
      <c r="E122" s="24" t="str">
        <f>INDEX(Resumes!$H$2:$H$101,MATCH(A122,Resumes!$A$2:$A$101,0))</f>
        <v>None</v>
      </c>
      <c r="F122" s="24">
        <f>'Scored Shortlist'!I80</f>
        <v>37</v>
      </c>
      <c r="G122" s="24">
        <f>'Scored Shortlist'!G80</f>
        <v>16</v>
      </c>
      <c r="H122" s="24" t="str">
        <f>'Scored Shortlist'!J80</f>
        <v>Not shortlisted</v>
      </c>
      <c r="I122" s="24">
        <f t="shared" si="10"/>
        <v>0</v>
      </c>
      <c r="J122" s="24">
        <f t="shared" si="11"/>
        <v>0</v>
      </c>
      <c r="K122" s="24">
        <f t="shared" si="12"/>
        <v>37</v>
      </c>
      <c r="L122" s="24" t="str">
        <f t="shared" si="13"/>
        <v>Not shortlisted</v>
      </c>
      <c r="M122" s="24">
        <f t="shared" si="14"/>
        <v>0</v>
      </c>
    </row>
    <row r="123" spans="1:13" x14ac:dyDescent="0.25">
      <c r="A123" s="24" t="str">
        <f>'Scored Shortlist'!A81</f>
        <v>CV095</v>
      </c>
      <c r="B123" s="24" t="str">
        <f>'Scored Shortlist'!C81</f>
        <v>JD3</v>
      </c>
      <c r="C123" s="24" t="str">
        <f>INDEX(Resumes!$C$2:$C$101,MATCH(A123,Resumes!$A$2:$A$101,0))</f>
        <v>Male</v>
      </c>
      <c r="D123" s="24" t="str">
        <f>INDEX(Resumes!$F$2:$F$101,MATCH(A123,Resumes!$A$2:$A$101,0))</f>
        <v>Tier-2 institute</v>
      </c>
      <c r="E123" s="24" t="str">
        <f>INDEX(Resumes!$H$2:$H$101,MATCH(A123,Resumes!$A$2:$A$101,0))</f>
        <v>None</v>
      </c>
      <c r="F123" s="24">
        <f>'Scored Shortlist'!I81</f>
        <v>37</v>
      </c>
      <c r="G123" s="24">
        <f>'Scored Shortlist'!G81</f>
        <v>0</v>
      </c>
      <c r="H123" s="24" t="str">
        <f>'Scored Shortlist'!J81</f>
        <v>Not shortlisted</v>
      </c>
      <c r="I123" s="24">
        <f t="shared" si="10"/>
        <v>0</v>
      </c>
      <c r="J123" s="24">
        <f t="shared" si="11"/>
        <v>0</v>
      </c>
      <c r="K123" s="24">
        <f t="shared" si="12"/>
        <v>37</v>
      </c>
      <c r="L123" s="24" t="str">
        <f t="shared" si="13"/>
        <v>Not shortlisted</v>
      </c>
      <c r="M123" s="24">
        <f t="shared" si="14"/>
        <v>0</v>
      </c>
    </row>
    <row r="124" spans="1:13" x14ac:dyDescent="0.25">
      <c r="A124" s="24" t="str">
        <f>'Scored Shortlist'!A82</f>
        <v>CV010</v>
      </c>
      <c r="B124" s="24" t="str">
        <f>'Scored Shortlist'!C82</f>
        <v>JD3</v>
      </c>
      <c r="C124" s="24" t="str">
        <f>INDEX(Resumes!$C$2:$C$101,MATCH(A124,Resumes!$A$2:$A$101,0))</f>
        <v>Female</v>
      </c>
      <c r="D124" s="24" t="str">
        <f>INDEX(Resumes!$F$2:$F$101,MATCH(A124,Resumes!$A$2:$A$101,0))</f>
        <v>Tier-3 institute</v>
      </c>
      <c r="E124" s="24" t="str">
        <f>INDEX(Resumes!$H$2:$H$101,MATCH(A124,Resumes!$A$2:$A$101,0))</f>
        <v>None</v>
      </c>
      <c r="F124" s="24">
        <f>'Scored Shortlist'!I82</f>
        <v>36</v>
      </c>
      <c r="G124" s="24">
        <f>'Scored Shortlist'!G82</f>
        <v>0</v>
      </c>
      <c r="H124" s="24" t="str">
        <f>'Scored Shortlist'!J82</f>
        <v>Not shortlisted</v>
      </c>
      <c r="I124" s="24">
        <f t="shared" si="10"/>
        <v>-5</v>
      </c>
      <c r="J124" s="24">
        <f t="shared" si="11"/>
        <v>0</v>
      </c>
      <c r="K124" s="24">
        <f t="shared" si="12"/>
        <v>31</v>
      </c>
      <c r="L124" s="24" t="str">
        <f t="shared" si="13"/>
        <v>Not shortlisted</v>
      </c>
      <c r="M124" s="24">
        <f t="shared" si="14"/>
        <v>0</v>
      </c>
    </row>
    <row r="125" spans="1:13" x14ac:dyDescent="0.25">
      <c r="A125" s="24" t="str">
        <f>'Scored Shortlist'!A83</f>
        <v>CV047</v>
      </c>
      <c r="B125" s="24" t="str">
        <f>'Scored Shortlist'!C83</f>
        <v>JD3</v>
      </c>
      <c r="C125" s="24" t="str">
        <f>INDEX(Resumes!$C$2:$C$101,MATCH(A125,Resumes!$A$2:$A$101,0))</f>
        <v>Female</v>
      </c>
      <c r="D125" s="24" t="str">
        <f>INDEX(Resumes!$F$2:$F$101,MATCH(A125,Resumes!$A$2:$A$101,0))</f>
        <v>Tier-3 institute</v>
      </c>
      <c r="E125" s="24" t="str">
        <f>INDEX(Resumes!$H$2:$H$101,MATCH(A125,Resumes!$A$2:$A$101,0))</f>
        <v>None</v>
      </c>
      <c r="F125" s="24">
        <f>'Scored Shortlist'!I83</f>
        <v>36</v>
      </c>
      <c r="G125" s="24">
        <f>'Scored Shortlist'!G83</f>
        <v>8</v>
      </c>
      <c r="H125" s="24" t="str">
        <f>'Scored Shortlist'!J83</f>
        <v>Not shortlisted</v>
      </c>
      <c r="I125" s="24">
        <f t="shared" si="10"/>
        <v>-5</v>
      </c>
      <c r="J125" s="24">
        <f t="shared" si="11"/>
        <v>0</v>
      </c>
      <c r="K125" s="24">
        <f t="shared" si="12"/>
        <v>31</v>
      </c>
      <c r="L125" s="24" t="str">
        <f t="shared" si="13"/>
        <v>Not shortlisted</v>
      </c>
      <c r="M125" s="24">
        <f t="shared" si="14"/>
        <v>0</v>
      </c>
    </row>
    <row r="126" spans="1:13" x14ac:dyDescent="0.25">
      <c r="A126" s="24" t="str">
        <f>'Scored Shortlist'!A84</f>
        <v>CV059</v>
      </c>
      <c r="B126" s="24" t="str">
        <f>'Scored Shortlist'!C84</f>
        <v>JD3</v>
      </c>
      <c r="C126" s="24" t="str">
        <f>INDEX(Resumes!$C$2:$C$101,MATCH(A126,Resumes!$A$2:$A$101,0))</f>
        <v>Female</v>
      </c>
      <c r="D126" s="24" t="str">
        <f>INDEX(Resumes!$F$2:$F$101,MATCH(A126,Resumes!$A$2:$A$101,0))</f>
        <v>Tier-1 institute</v>
      </c>
      <c r="E126" s="24" t="str">
        <f>INDEX(Resumes!$H$2:$H$101,MATCH(A126,Resumes!$A$2:$A$101,0))</f>
        <v>1-year career break (family)</v>
      </c>
      <c r="F126" s="24">
        <f>'Scored Shortlist'!I84</f>
        <v>36</v>
      </c>
      <c r="G126" s="24">
        <f>'Scored Shortlist'!G84</f>
        <v>8</v>
      </c>
      <c r="H126" s="24" t="str">
        <f>'Scored Shortlist'!J84</f>
        <v>Not shortlisted</v>
      </c>
      <c r="I126" s="24">
        <f t="shared" si="10"/>
        <v>5</v>
      </c>
      <c r="J126" s="24">
        <f t="shared" si="11"/>
        <v>-5</v>
      </c>
      <c r="K126" s="24">
        <f t="shared" si="12"/>
        <v>36</v>
      </c>
      <c r="L126" s="24" t="str">
        <f t="shared" si="13"/>
        <v>Not shortlisted</v>
      </c>
      <c r="M126" s="24">
        <f t="shared" si="14"/>
        <v>0</v>
      </c>
    </row>
    <row r="127" spans="1:13" x14ac:dyDescent="0.25">
      <c r="A127" s="24" t="str">
        <f>'Scored Shortlist'!A85</f>
        <v>CV071</v>
      </c>
      <c r="B127" s="24" t="str">
        <f>'Scored Shortlist'!C85</f>
        <v>JD3</v>
      </c>
      <c r="C127" s="24" t="str">
        <f>INDEX(Resumes!$C$2:$C$101,MATCH(A127,Resumes!$A$2:$A$101,0))</f>
        <v>Male</v>
      </c>
      <c r="D127" s="24" t="str">
        <f>INDEX(Resumes!$F$2:$F$101,MATCH(A127,Resumes!$A$2:$A$101,0))</f>
        <v>Tier-3 institute</v>
      </c>
      <c r="E127" s="24" t="str">
        <f>INDEX(Resumes!$H$2:$H$101,MATCH(A127,Resumes!$A$2:$A$101,0))</f>
        <v>None</v>
      </c>
      <c r="F127" s="24">
        <f>'Scored Shortlist'!I85</f>
        <v>36</v>
      </c>
      <c r="G127" s="24">
        <f>'Scored Shortlist'!G85</f>
        <v>16</v>
      </c>
      <c r="H127" s="24" t="str">
        <f>'Scored Shortlist'!J85</f>
        <v>Not shortlisted</v>
      </c>
      <c r="I127" s="24">
        <f t="shared" si="10"/>
        <v>-5</v>
      </c>
      <c r="J127" s="24">
        <f t="shared" si="11"/>
        <v>0</v>
      </c>
      <c r="K127" s="24">
        <f t="shared" si="12"/>
        <v>31</v>
      </c>
      <c r="L127" s="24" t="str">
        <f t="shared" si="13"/>
        <v>Not shortlisted</v>
      </c>
      <c r="M127" s="24">
        <f t="shared" si="14"/>
        <v>0</v>
      </c>
    </row>
    <row r="128" spans="1:13" x14ac:dyDescent="0.25">
      <c r="A128" s="24" t="str">
        <f>'Scored Shortlist'!A86</f>
        <v>CV066</v>
      </c>
      <c r="B128" s="24" t="str">
        <f>'Scored Shortlist'!C86</f>
        <v>JD3</v>
      </c>
      <c r="C128" s="24" t="str">
        <f>INDEX(Resumes!$C$2:$C$101,MATCH(A128,Resumes!$A$2:$A$101,0))</f>
        <v>Female</v>
      </c>
      <c r="D128" s="24" t="str">
        <f>INDEX(Resumes!$F$2:$F$101,MATCH(A128,Resumes!$A$2:$A$101,0))</f>
        <v>Tier-2 institute</v>
      </c>
      <c r="E128" s="24" t="str">
        <f>INDEX(Resumes!$H$2:$H$101,MATCH(A128,Resumes!$A$2:$A$101,0))</f>
        <v>6-month gap (exam preparation)</v>
      </c>
      <c r="F128" s="24">
        <f>'Scored Shortlist'!I86</f>
        <v>35</v>
      </c>
      <c r="G128" s="24">
        <f>'Scored Shortlist'!G86</f>
        <v>8</v>
      </c>
      <c r="H128" s="24" t="str">
        <f>'Scored Shortlist'!J86</f>
        <v>Not shortlisted</v>
      </c>
      <c r="I128" s="24">
        <f t="shared" si="10"/>
        <v>0</v>
      </c>
      <c r="J128" s="24">
        <f t="shared" si="11"/>
        <v>-5</v>
      </c>
      <c r="K128" s="24">
        <f t="shared" si="12"/>
        <v>30</v>
      </c>
      <c r="L128" s="24" t="str">
        <f t="shared" si="13"/>
        <v>Not shortlisted</v>
      </c>
      <c r="M128" s="24">
        <f t="shared" si="14"/>
        <v>0</v>
      </c>
    </row>
    <row r="129" spans="1:13" x14ac:dyDescent="0.25">
      <c r="A129" s="24" t="str">
        <f>'Scored Shortlist'!A87</f>
        <v>CV018</v>
      </c>
      <c r="B129" s="24" t="str">
        <f>'Scored Shortlist'!C87</f>
        <v>JD3</v>
      </c>
      <c r="C129" s="24" t="str">
        <f>INDEX(Resumes!$C$2:$C$101,MATCH(A129,Resumes!$A$2:$A$101,0))</f>
        <v>Male</v>
      </c>
      <c r="D129" s="24" t="str">
        <f>INDEX(Resumes!$F$2:$F$101,MATCH(A129,Resumes!$A$2:$A$101,0))</f>
        <v>Tier-2 institute</v>
      </c>
      <c r="E129" s="24" t="str">
        <f>INDEX(Resumes!$H$2:$H$101,MATCH(A129,Resumes!$A$2:$A$101,0))</f>
        <v>None</v>
      </c>
      <c r="F129" s="24">
        <f>'Scored Shortlist'!I87</f>
        <v>34</v>
      </c>
      <c r="G129" s="24">
        <f>'Scored Shortlist'!G87</f>
        <v>4</v>
      </c>
      <c r="H129" s="24" t="str">
        <f>'Scored Shortlist'!J87</f>
        <v>Not shortlisted</v>
      </c>
      <c r="I129" s="24">
        <f t="shared" si="10"/>
        <v>0</v>
      </c>
      <c r="J129" s="24">
        <f t="shared" si="11"/>
        <v>0</v>
      </c>
      <c r="K129" s="24">
        <f t="shared" si="12"/>
        <v>34</v>
      </c>
      <c r="L129" s="24" t="str">
        <f t="shared" si="13"/>
        <v>Not shortlisted</v>
      </c>
      <c r="M129" s="24">
        <f t="shared" si="14"/>
        <v>0</v>
      </c>
    </row>
    <row r="130" spans="1:13" x14ac:dyDescent="0.25">
      <c r="A130" s="24" t="str">
        <f>'Scored Shortlist'!A88</f>
        <v>CV031</v>
      </c>
      <c r="B130" s="24" t="str">
        <f>'Scored Shortlist'!C88</f>
        <v>JD3</v>
      </c>
      <c r="C130" s="24" t="str">
        <f>INDEX(Resumes!$C$2:$C$101,MATCH(A130,Resumes!$A$2:$A$101,0))</f>
        <v>Male</v>
      </c>
      <c r="D130" s="24" t="str">
        <f>INDEX(Resumes!$F$2:$F$101,MATCH(A130,Resumes!$A$2:$A$101,0))</f>
        <v>Tier-2 institute</v>
      </c>
      <c r="E130" s="24" t="str">
        <f>INDEX(Resumes!$H$2:$H$101,MATCH(A130,Resumes!$A$2:$A$101,0))</f>
        <v>6-month gap (exam preparation)</v>
      </c>
      <c r="F130" s="24">
        <f>'Scored Shortlist'!I88</f>
        <v>34</v>
      </c>
      <c r="G130" s="24">
        <f>'Scored Shortlist'!G88</f>
        <v>4</v>
      </c>
      <c r="H130" s="24" t="str">
        <f>'Scored Shortlist'!J88</f>
        <v>Not shortlisted</v>
      </c>
      <c r="I130" s="24">
        <f t="shared" si="10"/>
        <v>0</v>
      </c>
      <c r="J130" s="24">
        <f t="shared" si="11"/>
        <v>-5</v>
      </c>
      <c r="K130" s="24">
        <f t="shared" si="12"/>
        <v>29</v>
      </c>
      <c r="L130" s="24" t="str">
        <f t="shared" si="13"/>
        <v>Not shortlisted</v>
      </c>
      <c r="M130" s="24">
        <f t="shared" si="14"/>
        <v>0</v>
      </c>
    </row>
    <row r="131" spans="1:13" x14ac:dyDescent="0.25">
      <c r="A131" s="24" t="str">
        <f>'Scored Shortlist'!A89</f>
        <v>CV017</v>
      </c>
      <c r="B131" s="24" t="str">
        <f>'Scored Shortlist'!C89</f>
        <v>JD3</v>
      </c>
      <c r="C131" s="24" t="str">
        <f>INDEX(Resumes!$C$2:$C$101,MATCH(A131,Resumes!$A$2:$A$101,0))</f>
        <v>Female</v>
      </c>
      <c r="D131" s="24" t="str">
        <f>INDEX(Resumes!$F$2:$F$101,MATCH(A131,Resumes!$A$2:$A$101,0))</f>
        <v>Tier-2 institute</v>
      </c>
      <c r="E131" s="24" t="str">
        <f>INDEX(Resumes!$H$2:$H$101,MATCH(A131,Resumes!$A$2:$A$101,0))</f>
        <v>1-year career break (family)</v>
      </c>
      <c r="F131" s="24">
        <f>'Scored Shortlist'!I89</f>
        <v>32</v>
      </c>
      <c r="G131" s="24">
        <f>'Scored Shortlist'!G89</f>
        <v>4</v>
      </c>
      <c r="H131" s="24" t="str">
        <f>'Scored Shortlist'!J89</f>
        <v>Not shortlisted</v>
      </c>
      <c r="I131" s="24">
        <f t="shared" si="10"/>
        <v>0</v>
      </c>
      <c r="J131" s="24">
        <f t="shared" si="11"/>
        <v>-5</v>
      </c>
      <c r="K131" s="24">
        <f t="shared" si="12"/>
        <v>27</v>
      </c>
      <c r="L131" s="24" t="str">
        <f t="shared" si="13"/>
        <v>Not shortlisted</v>
      </c>
      <c r="M131" s="24">
        <f t="shared" si="14"/>
        <v>0</v>
      </c>
    </row>
    <row r="132" spans="1:13" x14ac:dyDescent="0.25">
      <c r="A132" s="24" t="str">
        <f>'Scored Shortlist'!A90</f>
        <v>CV064</v>
      </c>
      <c r="B132" s="24" t="str">
        <f>'Scored Shortlist'!C90</f>
        <v>JD3</v>
      </c>
      <c r="C132" s="24" t="str">
        <f>INDEX(Resumes!$C$2:$C$101,MATCH(A132,Resumes!$A$2:$A$101,0))</f>
        <v>Female</v>
      </c>
      <c r="D132" s="24" t="str">
        <f>INDEX(Resumes!$F$2:$F$101,MATCH(A132,Resumes!$A$2:$A$101,0))</f>
        <v>Tier-2 institute</v>
      </c>
      <c r="E132" s="24" t="str">
        <f>INDEX(Resumes!$H$2:$H$101,MATCH(A132,Resumes!$A$2:$A$101,0))</f>
        <v>None</v>
      </c>
      <c r="F132" s="24">
        <f>'Scored Shortlist'!I90</f>
        <v>32</v>
      </c>
      <c r="G132" s="24">
        <f>'Scored Shortlist'!G90</f>
        <v>0</v>
      </c>
      <c r="H132" s="24" t="str">
        <f>'Scored Shortlist'!J90</f>
        <v>Not shortlisted</v>
      </c>
      <c r="I132" s="24">
        <f t="shared" si="10"/>
        <v>0</v>
      </c>
      <c r="J132" s="24">
        <f t="shared" si="11"/>
        <v>0</v>
      </c>
      <c r="K132" s="24">
        <f t="shared" si="12"/>
        <v>32</v>
      </c>
      <c r="L132" s="24" t="str">
        <f t="shared" si="13"/>
        <v>Not shortlisted</v>
      </c>
      <c r="M132" s="24">
        <f t="shared" si="14"/>
        <v>0</v>
      </c>
    </row>
    <row r="133" spans="1:13" x14ac:dyDescent="0.25">
      <c r="A133" s="24" t="str">
        <f>'Scored Shortlist'!A91</f>
        <v>CV068</v>
      </c>
      <c r="B133" s="24" t="str">
        <f>'Scored Shortlist'!C91</f>
        <v>JD3</v>
      </c>
      <c r="C133" s="24" t="str">
        <f>INDEX(Resumes!$C$2:$C$101,MATCH(A133,Resumes!$A$2:$A$101,0))</f>
        <v>Female</v>
      </c>
      <c r="D133" s="24" t="str">
        <f>INDEX(Resumes!$F$2:$F$101,MATCH(A133,Resumes!$A$2:$A$101,0))</f>
        <v>Tier-3 institute</v>
      </c>
      <c r="E133" s="24" t="str">
        <f>INDEX(Resumes!$H$2:$H$101,MATCH(A133,Resumes!$A$2:$A$101,0))</f>
        <v>None</v>
      </c>
      <c r="F133" s="24">
        <f>'Scored Shortlist'!I91</f>
        <v>31</v>
      </c>
      <c r="G133" s="24">
        <f>'Scored Shortlist'!G91</f>
        <v>4</v>
      </c>
      <c r="H133" s="24" t="str">
        <f>'Scored Shortlist'!J91</f>
        <v>Not shortlisted</v>
      </c>
      <c r="I133" s="24">
        <f t="shared" si="10"/>
        <v>-5</v>
      </c>
      <c r="J133" s="24">
        <f t="shared" si="11"/>
        <v>0</v>
      </c>
      <c r="K133" s="24">
        <f t="shared" si="12"/>
        <v>26</v>
      </c>
      <c r="L133" s="24" t="str">
        <f t="shared" si="13"/>
        <v>Not shortlisted</v>
      </c>
      <c r="M133" s="24">
        <f t="shared" si="14"/>
        <v>0</v>
      </c>
    </row>
    <row r="134" spans="1:13" x14ac:dyDescent="0.25">
      <c r="A134" s="24" t="str">
        <f>'Scored Shortlist'!A92</f>
        <v>CV002</v>
      </c>
      <c r="B134" s="24" t="str">
        <f>'Scored Shortlist'!C92</f>
        <v>JD3</v>
      </c>
      <c r="C134" s="24" t="str">
        <f>INDEX(Resumes!$C$2:$C$101,MATCH(A134,Resumes!$A$2:$A$101,0))</f>
        <v>Female</v>
      </c>
      <c r="D134" s="24" t="str">
        <f>INDEX(Resumes!$F$2:$F$101,MATCH(A134,Resumes!$A$2:$A$101,0))</f>
        <v>Tier-2 institute</v>
      </c>
      <c r="E134" s="24" t="str">
        <f>INDEX(Resumes!$H$2:$H$101,MATCH(A134,Resumes!$A$2:$A$101,0))</f>
        <v>None</v>
      </c>
      <c r="F134" s="24">
        <f>'Scored Shortlist'!I92</f>
        <v>28</v>
      </c>
      <c r="G134" s="24">
        <f>'Scored Shortlist'!G92</f>
        <v>4</v>
      </c>
      <c r="H134" s="24" t="str">
        <f>'Scored Shortlist'!J92</f>
        <v>Not shortlisted</v>
      </c>
      <c r="I134" s="24">
        <f t="shared" si="10"/>
        <v>0</v>
      </c>
      <c r="J134" s="24">
        <f t="shared" si="11"/>
        <v>0</v>
      </c>
      <c r="K134" s="24">
        <f t="shared" si="12"/>
        <v>28</v>
      </c>
      <c r="L134" s="24" t="str">
        <f t="shared" si="13"/>
        <v>Not shortlisted</v>
      </c>
      <c r="M134" s="24">
        <f t="shared" si="14"/>
        <v>0</v>
      </c>
    </row>
    <row r="135" spans="1:13" x14ac:dyDescent="0.25">
      <c r="A135" s="24" t="str">
        <f>'Scored Shortlist'!A93</f>
        <v>CV026</v>
      </c>
      <c r="B135" s="24" t="str">
        <f>'Scored Shortlist'!C93</f>
        <v>JD3</v>
      </c>
      <c r="C135" s="24" t="str">
        <f>INDEX(Resumes!$C$2:$C$101,MATCH(A135,Resumes!$A$2:$A$101,0))</f>
        <v>Male</v>
      </c>
      <c r="D135" s="24" t="str">
        <f>INDEX(Resumes!$F$2:$F$101,MATCH(A135,Resumes!$A$2:$A$101,0))</f>
        <v>Tier-2 institute</v>
      </c>
      <c r="E135" s="24" t="str">
        <f>INDEX(Resumes!$H$2:$H$101,MATCH(A135,Resumes!$A$2:$A$101,0))</f>
        <v>None</v>
      </c>
      <c r="F135" s="24">
        <f>'Scored Shortlist'!I93</f>
        <v>28</v>
      </c>
      <c r="G135" s="24">
        <f>'Scored Shortlist'!G93</f>
        <v>4</v>
      </c>
      <c r="H135" s="24" t="str">
        <f>'Scored Shortlist'!J93</f>
        <v>Not shortlisted</v>
      </c>
      <c r="I135" s="24">
        <f t="shared" si="10"/>
        <v>0</v>
      </c>
      <c r="J135" s="24">
        <f t="shared" si="11"/>
        <v>0</v>
      </c>
      <c r="K135" s="24">
        <f t="shared" si="12"/>
        <v>28</v>
      </c>
      <c r="L135" s="24" t="str">
        <f t="shared" si="13"/>
        <v>Not shortlisted</v>
      </c>
      <c r="M135" s="24">
        <f t="shared" si="14"/>
        <v>0</v>
      </c>
    </row>
    <row r="136" spans="1:13" x14ac:dyDescent="0.25">
      <c r="A136" s="24" t="str">
        <f>'Scored Shortlist'!A94</f>
        <v>CV048</v>
      </c>
      <c r="B136" s="24" t="str">
        <f>'Scored Shortlist'!C94</f>
        <v>JD3</v>
      </c>
      <c r="C136" s="24" t="str">
        <f>INDEX(Resumes!$C$2:$C$101,MATCH(A136,Resumes!$A$2:$A$101,0))</f>
        <v>Female</v>
      </c>
      <c r="D136" s="24" t="str">
        <f>INDEX(Resumes!$F$2:$F$101,MATCH(A136,Resumes!$A$2:$A$101,0))</f>
        <v>Tier-2 institute</v>
      </c>
      <c r="E136" s="24" t="str">
        <f>INDEX(Resumes!$H$2:$H$101,MATCH(A136,Resumes!$A$2:$A$101,0))</f>
        <v>6-month gap (exam preparation)</v>
      </c>
      <c r="F136" s="24">
        <f>'Scored Shortlist'!I94</f>
        <v>28</v>
      </c>
      <c r="G136" s="24">
        <f>'Scored Shortlist'!G94</f>
        <v>4</v>
      </c>
      <c r="H136" s="24" t="str">
        <f>'Scored Shortlist'!J94</f>
        <v>Not shortlisted</v>
      </c>
      <c r="I136" s="24">
        <f t="shared" si="10"/>
        <v>0</v>
      </c>
      <c r="J136" s="24">
        <f t="shared" si="11"/>
        <v>-5</v>
      </c>
      <c r="K136" s="24">
        <f t="shared" si="12"/>
        <v>23</v>
      </c>
      <c r="L136" s="24" t="str">
        <f t="shared" si="13"/>
        <v>Not shortlisted</v>
      </c>
      <c r="M136" s="24">
        <f t="shared" si="14"/>
        <v>0</v>
      </c>
    </row>
    <row r="137" spans="1:13" x14ac:dyDescent="0.25">
      <c r="A137" s="24" t="str">
        <f>'Scored Shortlist'!A95</f>
        <v>CV076</v>
      </c>
      <c r="B137" s="24" t="str">
        <f>'Scored Shortlist'!C95</f>
        <v>JD3</v>
      </c>
      <c r="C137" s="24" t="str">
        <f>INDEX(Resumes!$C$2:$C$101,MATCH(A137,Resumes!$A$2:$A$101,0))</f>
        <v>Male</v>
      </c>
      <c r="D137" s="24" t="str">
        <f>INDEX(Resumes!$F$2:$F$101,MATCH(A137,Resumes!$A$2:$A$101,0))</f>
        <v>Tier-3 institute</v>
      </c>
      <c r="E137" s="24" t="str">
        <f>INDEX(Resumes!$H$2:$H$101,MATCH(A137,Resumes!$A$2:$A$101,0))</f>
        <v>1-year career break (family)</v>
      </c>
      <c r="F137" s="24">
        <f>'Scored Shortlist'!I95</f>
        <v>28</v>
      </c>
      <c r="G137" s="24">
        <f>'Scored Shortlist'!G95</f>
        <v>0</v>
      </c>
      <c r="H137" s="24" t="str">
        <f>'Scored Shortlist'!J95</f>
        <v>Not shortlisted</v>
      </c>
      <c r="I137" s="24">
        <f t="shared" si="10"/>
        <v>-5</v>
      </c>
      <c r="J137" s="24">
        <f t="shared" si="11"/>
        <v>-5</v>
      </c>
      <c r="K137" s="24">
        <f t="shared" si="12"/>
        <v>18</v>
      </c>
      <c r="L137" s="24" t="str">
        <f t="shared" si="13"/>
        <v>Not shortlisted</v>
      </c>
      <c r="M137" s="24">
        <f t="shared" si="14"/>
        <v>0</v>
      </c>
    </row>
    <row r="138" spans="1:13" x14ac:dyDescent="0.25">
      <c r="A138" s="24" t="str">
        <f>'Scored Shortlist'!A96</f>
        <v>CV001</v>
      </c>
      <c r="B138" s="24" t="str">
        <f>'Scored Shortlist'!C96</f>
        <v>JD3</v>
      </c>
      <c r="C138" s="24" t="str">
        <f>INDEX(Resumes!$C$2:$C$101,MATCH(A138,Resumes!$A$2:$A$101,0))</f>
        <v>Male</v>
      </c>
      <c r="D138" s="24" t="str">
        <f>INDEX(Resumes!$F$2:$F$101,MATCH(A138,Resumes!$A$2:$A$101,0))</f>
        <v>Tier-2 institute</v>
      </c>
      <c r="E138" s="24" t="str">
        <f>INDEX(Resumes!$H$2:$H$101,MATCH(A138,Resumes!$A$2:$A$101,0))</f>
        <v>None</v>
      </c>
      <c r="F138" s="24">
        <f>'Scored Shortlist'!I96</f>
        <v>27</v>
      </c>
      <c r="G138" s="24">
        <f>'Scored Shortlist'!G96</f>
        <v>0</v>
      </c>
      <c r="H138" s="24" t="str">
        <f>'Scored Shortlist'!J96</f>
        <v>Not shortlisted</v>
      </c>
      <c r="I138" s="24">
        <f t="shared" si="10"/>
        <v>0</v>
      </c>
      <c r="J138" s="24">
        <f t="shared" si="11"/>
        <v>0</v>
      </c>
      <c r="K138" s="24">
        <f t="shared" si="12"/>
        <v>27</v>
      </c>
      <c r="L138" s="24" t="str">
        <f t="shared" si="13"/>
        <v>Not shortlisted</v>
      </c>
      <c r="M138" s="24">
        <f t="shared" si="14"/>
        <v>0</v>
      </c>
    </row>
    <row r="139" spans="1:13" x14ac:dyDescent="0.25">
      <c r="A139" s="24" t="str">
        <f>'Scored Shortlist'!A97</f>
        <v>CV082</v>
      </c>
      <c r="B139" s="24" t="str">
        <f>'Scored Shortlist'!C97</f>
        <v>JD3</v>
      </c>
      <c r="C139" s="24" t="str">
        <f>INDEX(Resumes!$C$2:$C$101,MATCH(A139,Resumes!$A$2:$A$101,0))</f>
        <v>Female</v>
      </c>
      <c r="D139" s="24" t="str">
        <f>INDEX(Resumes!$F$2:$F$101,MATCH(A139,Resumes!$A$2:$A$101,0))</f>
        <v>Tier-1 institute</v>
      </c>
      <c r="E139" s="24" t="str">
        <f>INDEX(Resumes!$H$2:$H$101,MATCH(A139,Resumes!$A$2:$A$101,0))</f>
        <v>None</v>
      </c>
      <c r="F139" s="24">
        <f>'Scored Shortlist'!I97</f>
        <v>27</v>
      </c>
      <c r="G139" s="24">
        <f>'Scored Shortlist'!G97</f>
        <v>0</v>
      </c>
      <c r="H139" s="24" t="str">
        <f>'Scored Shortlist'!J97</f>
        <v>Not shortlisted</v>
      </c>
      <c r="I139" s="24">
        <f t="shared" si="10"/>
        <v>5</v>
      </c>
      <c r="J139" s="24">
        <f t="shared" si="11"/>
        <v>0</v>
      </c>
      <c r="K139" s="24">
        <f t="shared" si="12"/>
        <v>32</v>
      </c>
      <c r="L139" s="24" t="str">
        <f t="shared" si="13"/>
        <v>Not shortlisted</v>
      </c>
      <c r="M139" s="24">
        <f t="shared" si="14"/>
        <v>0</v>
      </c>
    </row>
    <row r="140" spans="1:13" x14ac:dyDescent="0.25">
      <c r="A140" s="24" t="str">
        <f>'Scored Shortlist'!A98</f>
        <v>CV074</v>
      </c>
      <c r="B140" s="24" t="str">
        <f>'Scored Shortlist'!C98</f>
        <v>JD3</v>
      </c>
      <c r="C140" s="24" t="str">
        <f>INDEX(Resumes!$C$2:$C$101,MATCH(A140,Resumes!$A$2:$A$101,0))</f>
        <v>Male</v>
      </c>
      <c r="D140" s="24" t="str">
        <f>INDEX(Resumes!$F$2:$F$101,MATCH(A140,Resumes!$A$2:$A$101,0))</f>
        <v>Tier-3 institute</v>
      </c>
      <c r="E140" s="24" t="str">
        <f>INDEX(Resumes!$H$2:$H$101,MATCH(A140,Resumes!$A$2:$A$101,0))</f>
        <v>None</v>
      </c>
      <c r="F140" s="24">
        <f>'Scored Shortlist'!I98</f>
        <v>26</v>
      </c>
      <c r="G140" s="24">
        <f>'Scored Shortlist'!G98</f>
        <v>4</v>
      </c>
      <c r="H140" s="24" t="str">
        <f>'Scored Shortlist'!J98</f>
        <v>Not shortlisted</v>
      </c>
      <c r="I140" s="24">
        <f t="shared" si="10"/>
        <v>-5</v>
      </c>
      <c r="J140" s="24">
        <f t="shared" si="11"/>
        <v>0</v>
      </c>
      <c r="K140" s="24">
        <f t="shared" si="12"/>
        <v>21</v>
      </c>
      <c r="L140" s="24" t="str">
        <f t="shared" si="13"/>
        <v>Not shortlisted</v>
      </c>
      <c r="M140" s="24">
        <f t="shared" si="14"/>
        <v>0</v>
      </c>
    </row>
    <row r="141" spans="1:13" x14ac:dyDescent="0.25">
      <c r="A141" s="24" t="str">
        <f>'Scored Shortlist'!A99</f>
        <v>CV078</v>
      </c>
      <c r="B141" s="24" t="str">
        <f>'Scored Shortlist'!C99</f>
        <v>JD3</v>
      </c>
      <c r="C141" s="24" t="str">
        <f>INDEX(Resumes!$C$2:$C$101,MATCH(A141,Resumes!$A$2:$A$101,0))</f>
        <v>Male</v>
      </c>
      <c r="D141" s="24" t="str">
        <f>INDEX(Resumes!$F$2:$F$101,MATCH(A141,Resumes!$A$2:$A$101,0))</f>
        <v>Tier-2 institute</v>
      </c>
      <c r="E141" s="24" t="str">
        <f>INDEX(Resumes!$H$2:$H$101,MATCH(A141,Resumes!$A$2:$A$101,0))</f>
        <v>1-year career break (family)</v>
      </c>
      <c r="F141" s="24">
        <f>'Scored Shortlist'!I99</f>
        <v>26</v>
      </c>
      <c r="G141" s="24">
        <f>'Scored Shortlist'!G99</f>
        <v>8</v>
      </c>
      <c r="H141" s="24" t="str">
        <f>'Scored Shortlist'!J99</f>
        <v>Not shortlisted</v>
      </c>
      <c r="I141" s="24">
        <f t="shared" si="10"/>
        <v>0</v>
      </c>
      <c r="J141" s="24">
        <f t="shared" si="11"/>
        <v>-5</v>
      </c>
      <c r="K141" s="24">
        <f t="shared" si="12"/>
        <v>21</v>
      </c>
      <c r="L141" s="24" t="str">
        <f t="shared" si="13"/>
        <v>Not shortlisted</v>
      </c>
      <c r="M141" s="24">
        <f t="shared" si="14"/>
        <v>0</v>
      </c>
    </row>
    <row r="142" spans="1:13" x14ac:dyDescent="0.25">
      <c r="A142" s="24" t="str">
        <f>'Scored Shortlist'!A100</f>
        <v>CV037</v>
      </c>
      <c r="B142" s="24" t="str">
        <f>'Scored Shortlist'!C100</f>
        <v>JD3</v>
      </c>
      <c r="C142" s="24" t="str">
        <f>INDEX(Resumes!$C$2:$C$101,MATCH(A142,Resumes!$A$2:$A$101,0))</f>
        <v>Female</v>
      </c>
      <c r="D142" s="24" t="str">
        <f>INDEX(Resumes!$F$2:$F$101,MATCH(A142,Resumes!$A$2:$A$101,0))</f>
        <v>Tier-2 institute</v>
      </c>
      <c r="E142" s="24" t="str">
        <f>INDEX(Resumes!$H$2:$H$101,MATCH(A142,Resumes!$A$2:$A$101,0))</f>
        <v>None</v>
      </c>
      <c r="F142" s="24">
        <f>'Scored Shortlist'!I100</f>
        <v>25</v>
      </c>
      <c r="G142" s="24">
        <f>'Scored Shortlist'!G100</f>
        <v>4</v>
      </c>
      <c r="H142" s="24" t="str">
        <f>'Scored Shortlist'!J100</f>
        <v>Not shortlisted</v>
      </c>
      <c r="I142" s="24">
        <f t="shared" ref="I142:I173" si="15">IF(D142="Tier-1 institute",$B$16,IF(D142="Tier-3 institute",$B$17,0))</f>
        <v>0</v>
      </c>
      <c r="J142" s="24">
        <f t="shared" ref="J142:J173" si="16">IF(E142="None",0,$B$18)</f>
        <v>0</v>
      </c>
      <c r="K142" s="24">
        <f t="shared" ref="K142:K173" si="17">F142+I142+J142</f>
        <v>25</v>
      </c>
      <c r="L142" s="24" t="str">
        <f t="shared" ref="L142:L173" si="18">IF(AND(K142&gt;=SL_CUT,G142&gt;=SL_SKILL),"Shortlist",IF(AND(K142&gt;=RV_CUT,G142&gt;=RV_SKILL),"Review","Not shortlisted"))</f>
        <v>Not shortlisted</v>
      </c>
      <c r="M142" s="24">
        <f t="shared" ref="M142:M173" si="19">IF(H142&lt;&gt;L142,1,0)</f>
        <v>0</v>
      </c>
    </row>
    <row r="143" spans="1:13" x14ac:dyDescent="0.25">
      <c r="A143" s="24" t="str">
        <f>'Scored Shortlist'!A101</f>
        <v>CV061</v>
      </c>
      <c r="B143" s="24" t="str">
        <f>'Scored Shortlist'!C101</f>
        <v>JD3</v>
      </c>
      <c r="C143" s="24" t="str">
        <f>INDEX(Resumes!$C$2:$C$101,MATCH(A143,Resumes!$A$2:$A$101,0))</f>
        <v>Male</v>
      </c>
      <c r="D143" s="24" t="str">
        <f>INDEX(Resumes!$F$2:$F$101,MATCH(A143,Resumes!$A$2:$A$101,0))</f>
        <v>Tier-2 institute</v>
      </c>
      <c r="E143" s="24" t="str">
        <f>INDEX(Resumes!$H$2:$H$101,MATCH(A143,Resumes!$A$2:$A$101,0))</f>
        <v>None</v>
      </c>
      <c r="F143" s="24">
        <f>'Scored Shortlist'!I101</f>
        <v>24</v>
      </c>
      <c r="G143" s="24">
        <f>'Scored Shortlist'!G101</f>
        <v>0</v>
      </c>
      <c r="H143" s="24" t="str">
        <f>'Scored Shortlist'!J101</f>
        <v>Not shortlisted</v>
      </c>
      <c r="I143" s="24">
        <f t="shared" si="15"/>
        <v>0</v>
      </c>
      <c r="J143" s="24">
        <f t="shared" si="16"/>
        <v>0</v>
      </c>
      <c r="K143" s="24">
        <f t="shared" si="17"/>
        <v>24</v>
      </c>
      <c r="L143" s="24" t="str">
        <f t="shared" si="18"/>
        <v>Not shortlisted</v>
      </c>
      <c r="M143" s="24">
        <f t="shared" si="19"/>
        <v>0</v>
      </c>
    </row>
    <row r="144" spans="1:13" x14ac:dyDescent="0.25">
      <c r="A144" s="24" t="str">
        <f>'Scored Shortlist'!A102</f>
        <v>CV067</v>
      </c>
      <c r="B144" s="24" t="str">
        <f>'Scored Shortlist'!C102</f>
        <v>JD3</v>
      </c>
      <c r="C144" s="24" t="str">
        <f>INDEX(Resumes!$C$2:$C$101,MATCH(A144,Resumes!$A$2:$A$101,0))</f>
        <v>Female</v>
      </c>
      <c r="D144" s="24" t="str">
        <f>INDEX(Resumes!$F$2:$F$101,MATCH(A144,Resumes!$A$2:$A$101,0))</f>
        <v>Tier-3 institute</v>
      </c>
      <c r="E144" s="24" t="str">
        <f>INDEX(Resumes!$H$2:$H$101,MATCH(A144,Resumes!$A$2:$A$101,0))</f>
        <v>6-month gap (exam preparation)</v>
      </c>
      <c r="F144" s="24">
        <f>'Scored Shortlist'!I102</f>
        <v>24</v>
      </c>
      <c r="G144" s="24">
        <f>'Scored Shortlist'!G102</f>
        <v>0</v>
      </c>
      <c r="H144" s="24" t="str">
        <f>'Scored Shortlist'!J102</f>
        <v>Not shortlisted</v>
      </c>
      <c r="I144" s="24">
        <f t="shared" si="15"/>
        <v>-5</v>
      </c>
      <c r="J144" s="24">
        <f t="shared" si="16"/>
        <v>-5</v>
      </c>
      <c r="K144" s="24">
        <f t="shared" si="17"/>
        <v>14</v>
      </c>
      <c r="L144" s="24" t="str">
        <f t="shared" si="18"/>
        <v>Not shortlisted</v>
      </c>
      <c r="M144" s="24">
        <f t="shared" si="19"/>
        <v>0</v>
      </c>
    </row>
    <row r="145" spans="1:13" x14ac:dyDescent="0.25">
      <c r="A145" s="24" t="str">
        <f>'Scored Shortlist'!A103</f>
        <v>CV100</v>
      </c>
      <c r="B145" s="24" t="str">
        <f>'Scored Shortlist'!C103</f>
        <v>JD3</v>
      </c>
      <c r="C145" s="24" t="str">
        <f>INDEX(Resumes!$C$2:$C$101,MATCH(A145,Resumes!$A$2:$A$101,0))</f>
        <v>Male</v>
      </c>
      <c r="D145" s="24" t="str">
        <f>INDEX(Resumes!$F$2:$F$101,MATCH(A145,Resumes!$A$2:$A$101,0))</f>
        <v>Tier-2 institute</v>
      </c>
      <c r="E145" s="24" t="str">
        <f>INDEX(Resumes!$H$2:$H$101,MATCH(A145,Resumes!$A$2:$A$101,0))</f>
        <v>None</v>
      </c>
      <c r="F145" s="24">
        <f>'Scored Shortlist'!I103</f>
        <v>23</v>
      </c>
      <c r="G145" s="24">
        <f>'Scored Shortlist'!G103</f>
        <v>0</v>
      </c>
      <c r="H145" s="24" t="str">
        <f>'Scored Shortlist'!J103</f>
        <v>Not shortlisted</v>
      </c>
      <c r="I145" s="24">
        <f t="shared" si="15"/>
        <v>0</v>
      </c>
      <c r="J145" s="24">
        <f t="shared" si="16"/>
        <v>0</v>
      </c>
      <c r="K145" s="24">
        <f t="shared" si="17"/>
        <v>23</v>
      </c>
      <c r="L145" s="24" t="str">
        <f t="shared" si="18"/>
        <v>Not shortlisted</v>
      </c>
      <c r="M145" s="24">
        <f t="shared" si="19"/>
        <v>0</v>
      </c>
    </row>
    <row r="146" spans="1:13" x14ac:dyDescent="0.25">
      <c r="A146" s="24" t="str">
        <f>'Scored Shortlist'!A104</f>
        <v>CV086</v>
      </c>
      <c r="B146" s="24" t="str">
        <f>'Scored Shortlist'!C104</f>
        <v>JD5</v>
      </c>
      <c r="C146" s="24" t="str">
        <f>INDEX(Resumes!$C$2:$C$101,MATCH(A146,Resumes!$A$2:$A$101,0))</f>
        <v>Female</v>
      </c>
      <c r="D146" s="24" t="str">
        <f>INDEX(Resumes!$F$2:$F$101,MATCH(A146,Resumes!$A$2:$A$101,0))</f>
        <v>Tier-2 institute</v>
      </c>
      <c r="E146" s="24" t="str">
        <f>INDEX(Resumes!$H$2:$H$101,MATCH(A146,Resumes!$A$2:$A$101,0))</f>
        <v>None</v>
      </c>
      <c r="F146" s="24">
        <f>'Scored Shortlist'!I104</f>
        <v>82</v>
      </c>
      <c r="G146" s="24">
        <f>'Scored Shortlist'!G104</f>
        <v>28</v>
      </c>
      <c r="H146" s="24" t="str">
        <f>'Scored Shortlist'!J104</f>
        <v>Shortlist</v>
      </c>
      <c r="I146" s="24">
        <f t="shared" si="15"/>
        <v>0</v>
      </c>
      <c r="J146" s="24">
        <f t="shared" si="16"/>
        <v>0</v>
      </c>
      <c r="K146" s="24">
        <f t="shared" si="17"/>
        <v>82</v>
      </c>
      <c r="L146" s="24" t="str">
        <f t="shared" si="18"/>
        <v>Shortlist</v>
      </c>
      <c r="M146" s="24">
        <f t="shared" si="19"/>
        <v>0</v>
      </c>
    </row>
    <row r="147" spans="1:13" x14ac:dyDescent="0.25">
      <c r="A147" s="24" t="str">
        <f>'Scored Shortlist'!A105</f>
        <v>CV080</v>
      </c>
      <c r="B147" s="24" t="str">
        <f>'Scored Shortlist'!C105</f>
        <v>JD5</v>
      </c>
      <c r="C147" s="24" t="str">
        <f>INDEX(Resumes!$C$2:$C$101,MATCH(A147,Resumes!$A$2:$A$101,0))</f>
        <v>Male</v>
      </c>
      <c r="D147" s="24" t="str">
        <f>INDEX(Resumes!$F$2:$F$101,MATCH(A147,Resumes!$A$2:$A$101,0))</f>
        <v>Tier-3 institute</v>
      </c>
      <c r="E147" s="24" t="str">
        <f>INDEX(Resumes!$H$2:$H$101,MATCH(A147,Resumes!$A$2:$A$101,0))</f>
        <v>None</v>
      </c>
      <c r="F147" s="24">
        <f>'Scored Shortlist'!I105</f>
        <v>76</v>
      </c>
      <c r="G147" s="24">
        <f>'Scored Shortlist'!G105</f>
        <v>24</v>
      </c>
      <c r="H147" s="24" t="str">
        <f>'Scored Shortlist'!J105</f>
        <v>Shortlist</v>
      </c>
      <c r="I147" s="24">
        <f t="shared" si="15"/>
        <v>-5</v>
      </c>
      <c r="J147" s="24">
        <f t="shared" si="16"/>
        <v>0</v>
      </c>
      <c r="K147" s="24">
        <f t="shared" si="17"/>
        <v>71</v>
      </c>
      <c r="L147" s="24" t="str">
        <f t="shared" si="18"/>
        <v>Shortlist</v>
      </c>
      <c r="M147" s="24">
        <f t="shared" si="19"/>
        <v>0</v>
      </c>
    </row>
    <row r="148" spans="1:13" x14ac:dyDescent="0.25">
      <c r="A148" s="24" t="str">
        <f>'Scored Shortlist'!A106</f>
        <v>CV056</v>
      </c>
      <c r="B148" s="24" t="str">
        <f>'Scored Shortlist'!C106</f>
        <v>JD5</v>
      </c>
      <c r="C148" s="24" t="str">
        <f>INDEX(Resumes!$C$2:$C$101,MATCH(A148,Resumes!$A$2:$A$101,0))</f>
        <v>Male</v>
      </c>
      <c r="D148" s="24" t="str">
        <f>INDEX(Resumes!$F$2:$F$101,MATCH(A148,Resumes!$A$2:$A$101,0))</f>
        <v>Tier-3 institute</v>
      </c>
      <c r="E148" s="24" t="str">
        <f>INDEX(Resumes!$H$2:$H$101,MATCH(A148,Resumes!$A$2:$A$101,0))</f>
        <v>None</v>
      </c>
      <c r="F148" s="24">
        <f>'Scored Shortlist'!I106</f>
        <v>73</v>
      </c>
      <c r="G148" s="24">
        <f>'Scored Shortlist'!G106</f>
        <v>16</v>
      </c>
      <c r="H148" s="24" t="str">
        <f>'Scored Shortlist'!J106</f>
        <v>Shortlist</v>
      </c>
      <c r="I148" s="24">
        <f t="shared" si="15"/>
        <v>-5</v>
      </c>
      <c r="J148" s="24">
        <f t="shared" si="16"/>
        <v>0</v>
      </c>
      <c r="K148" s="24">
        <f t="shared" si="17"/>
        <v>68</v>
      </c>
      <c r="L148" s="24" t="str">
        <f t="shared" si="18"/>
        <v>Shortlist</v>
      </c>
      <c r="M148" s="24">
        <f t="shared" si="19"/>
        <v>0</v>
      </c>
    </row>
    <row r="149" spans="1:13" x14ac:dyDescent="0.25">
      <c r="A149" s="24" t="str">
        <f>'Scored Shortlist'!A107</f>
        <v>CV052</v>
      </c>
      <c r="B149" s="24" t="str">
        <f>'Scored Shortlist'!C107</f>
        <v>JD5</v>
      </c>
      <c r="C149" s="24" t="str">
        <f>INDEX(Resumes!$C$2:$C$101,MATCH(A149,Resumes!$A$2:$A$101,0))</f>
        <v>Female</v>
      </c>
      <c r="D149" s="24" t="str">
        <f>INDEX(Resumes!$F$2:$F$101,MATCH(A149,Resumes!$A$2:$A$101,0))</f>
        <v>Tier-3 institute</v>
      </c>
      <c r="E149" s="24" t="str">
        <f>INDEX(Resumes!$H$2:$H$101,MATCH(A149,Resumes!$A$2:$A$101,0))</f>
        <v>None</v>
      </c>
      <c r="F149" s="24">
        <f>'Scored Shortlist'!I107</f>
        <v>72</v>
      </c>
      <c r="G149" s="24">
        <f>'Scored Shortlist'!G107</f>
        <v>16</v>
      </c>
      <c r="H149" s="24" t="str">
        <f>'Scored Shortlist'!J107</f>
        <v>Shortlist</v>
      </c>
      <c r="I149" s="24">
        <f t="shared" si="15"/>
        <v>-5</v>
      </c>
      <c r="J149" s="24">
        <f t="shared" si="16"/>
        <v>0</v>
      </c>
      <c r="K149" s="24">
        <f t="shared" si="17"/>
        <v>67</v>
      </c>
      <c r="L149" s="24" t="str">
        <f t="shared" si="18"/>
        <v>Shortlist</v>
      </c>
      <c r="M149" s="24">
        <f t="shared" si="19"/>
        <v>0</v>
      </c>
    </row>
    <row r="150" spans="1:13" x14ac:dyDescent="0.25">
      <c r="A150" s="24" t="str">
        <f>'Scored Shortlist'!A108</f>
        <v>CV040</v>
      </c>
      <c r="B150" s="24" t="str">
        <f>'Scored Shortlist'!C108</f>
        <v>JD5</v>
      </c>
      <c r="C150" s="24" t="str">
        <f>INDEX(Resumes!$C$2:$C$101,MATCH(A150,Resumes!$A$2:$A$101,0))</f>
        <v>Male</v>
      </c>
      <c r="D150" s="24" t="str">
        <f>INDEX(Resumes!$F$2:$F$101,MATCH(A150,Resumes!$A$2:$A$101,0))</f>
        <v>Tier-1 institute</v>
      </c>
      <c r="E150" s="24" t="str">
        <f>INDEX(Resumes!$H$2:$H$101,MATCH(A150,Resumes!$A$2:$A$101,0))</f>
        <v>6-month gap (exam preparation)</v>
      </c>
      <c r="F150" s="24">
        <f>'Scored Shortlist'!I108</f>
        <v>67</v>
      </c>
      <c r="G150" s="24">
        <f>'Scored Shortlist'!G108</f>
        <v>20</v>
      </c>
      <c r="H150" s="24" t="str">
        <f>'Scored Shortlist'!J108</f>
        <v>Shortlist</v>
      </c>
      <c r="I150" s="24">
        <f t="shared" si="15"/>
        <v>5</v>
      </c>
      <c r="J150" s="24">
        <f t="shared" si="16"/>
        <v>-5</v>
      </c>
      <c r="K150" s="24">
        <f t="shared" si="17"/>
        <v>67</v>
      </c>
      <c r="L150" s="24" t="str">
        <f t="shared" si="18"/>
        <v>Shortlist</v>
      </c>
      <c r="M150" s="24">
        <f t="shared" si="19"/>
        <v>0</v>
      </c>
    </row>
    <row r="151" spans="1:13" x14ac:dyDescent="0.25">
      <c r="A151" s="24" t="str">
        <f>'Scored Shortlist'!A109</f>
        <v>CV019</v>
      </c>
      <c r="B151" s="24" t="str">
        <f>'Scored Shortlist'!C109</f>
        <v>JD5</v>
      </c>
      <c r="C151" s="24" t="str">
        <f>INDEX(Resumes!$C$2:$C$101,MATCH(A151,Resumes!$A$2:$A$101,0))</f>
        <v>Male</v>
      </c>
      <c r="D151" s="24" t="str">
        <f>INDEX(Resumes!$F$2:$F$101,MATCH(A151,Resumes!$A$2:$A$101,0))</f>
        <v>Tier-3 institute</v>
      </c>
      <c r="E151" s="24" t="str">
        <f>INDEX(Resumes!$H$2:$H$101,MATCH(A151,Resumes!$A$2:$A$101,0))</f>
        <v>None</v>
      </c>
      <c r="F151" s="24">
        <f>'Scored Shortlist'!I109</f>
        <v>63</v>
      </c>
      <c r="G151" s="24">
        <f>'Scored Shortlist'!G109</f>
        <v>16</v>
      </c>
      <c r="H151" s="24" t="str">
        <f>'Scored Shortlist'!J109</f>
        <v>Shortlist</v>
      </c>
      <c r="I151" s="24">
        <f t="shared" si="15"/>
        <v>-5</v>
      </c>
      <c r="J151" s="24">
        <f t="shared" si="16"/>
        <v>0</v>
      </c>
      <c r="K151" s="24">
        <f t="shared" si="17"/>
        <v>58</v>
      </c>
      <c r="L151" s="24" t="str">
        <f t="shared" si="18"/>
        <v>Review</v>
      </c>
      <c r="M151" s="24">
        <f t="shared" si="19"/>
        <v>1</v>
      </c>
    </row>
    <row r="152" spans="1:13" x14ac:dyDescent="0.25">
      <c r="A152" s="24" t="str">
        <f>'Scored Shortlist'!A110</f>
        <v>CV009</v>
      </c>
      <c r="B152" s="24" t="str">
        <f>'Scored Shortlist'!C110</f>
        <v>JD5</v>
      </c>
      <c r="C152" s="24" t="str">
        <f>INDEX(Resumes!$C$2:$C$101,MATCH(A152,Resumes!$A$2:$A$101,0))</f>
        <v>Male</v>
      </c>
      <c r="D152" s="24" t="str">
        <f>INDEX(Resumes!$F$2:$F$101,MATCH(A152,Resumes!$A$2:$A$101,0))</f>
        <v>Tier-2 institute</v>
      </c>
      <c r="E152" s="24" t="str">
        <f>INDEX(Resumes!$H$2:$H$101,MATCH(A152,Resumes!$A$2:$A$101,0))</f>
        <v>None</v>
      </c>
      <c r="F152" s="24">
        <f>'Scored Shortlist'!I110</f>
        <v>60</v>
      </c>
      <c r="G152" s="24">
        <f>'Scored Shortlist'!G110</f>
        <v>16</v>
      </c>
      <c r="H152" s="24" t="str">
        <f>'Scored Shortlist'!J110</f>
        <v>Shortlist</v>
      </c>
      <c r="I152" s="24">
        <f t="shared" si="15"/>
        <v>0</v>
      </c>
      <c r="J152" s="24">
        <f t="shared" si="16"/>
        <v>0</v>
      </c>
      <c r="K152" s="24">
        <f t="shared" si="17"/>
        <v>60</v>
      </c>
      <c r="L152" s="24" t="str">
        <f t="shared" si="18"/>
        <v>Shortlist</v>
      </c>
      <c r="M152" s="24">
        <f t="shared" si="19"/>
        <v>0</v>
      </c>
    </row>
    <row r="153" spans="1:13" x14ac:dyDescent="0.25">
      <c r="A153" s="24" t="str">
        <f>'Scored Shortlist'!A111</f>
        <v>CV057</v>
      </c>
      <c r="B153" s="24" t="str">
        <f>'Scored Shortlist'!C111</f>
        <v>JD5</v>
      </c>
      <c r="C153" s="24" t="str">
        <f>INDEX(Resumes!$C$2:$C$101,MATCH(A153,Resumes!$A$2:$A$101,0))</f>
        <v>Female</v>
      </c>
      <c r="D153" s="24" t="str">
        <f>INDEX(Resumes!$F$2:$F$101,MATCH(A153,Resumes!$A$2:$A$101,0))</f>
        <v>Tier-2 institute</v>
      </c>
      <c r="E153" s="24" t="str">
        <f>INDEX(Resumes!$H$2:$H$101,MATCH(A153,Resumes!$A$2:$A$101,0))</f>
        <v>1-year career break (family)</v>
      </c>
      <c r="F153" s="24">
        <f>'Scored Shortlist'!I111</f>
        <v>59</v>
      </c>
      <c r="G153" s="24">
        <f>'Scored Shortlist'!G111</f>
        <v>16</v>
      </c>
      <c r="H153" s="24" t="str">
        <f>'Scored Shortlist'!J111</f>
        <v>Review</v>
      </c>
      <c r="I153" s="24">
        <f t="shared" si="15"/>
        <v>0</v>
      </c>
      <c r="J153" s="24">
        <f t="shared" si="16"/>
        <v>-5</v>
      </c>
      <c r="K153" s="24">
        <f t="shared" si="17"/>
        <v>54</v>
      </c>
      <c r="L153" s="24" t="str">
        <f t="shared" si="18"/>
        <v>Not shortlisted</v>
      </c>
      <c r="M153" s="24">
        <f t="shared" si="19"/>
        <v>1</v>
      </c>
    </row>
    <row r="154" spans="1:13" x14ac:dyDescent="0.25">
      <c r="A154" s="24" t="str">
        <f>'Scored Shortlist'!A112</f>
        <v>CV087</v>
      </c>
      <c r="B154" s="24" t="str">
        <f>'Scored Shortlist'!C112</f>
        <v>JD5</v>
      </c>
      <c r="C154" s="24" t="str">
        <f>INDEX(Resumes!$C$2:$C$101,MATCH(A154,Resumes!$A$2:$A$101,0))</f>
        <v>Female</v>
      </c>
      <c r="D154" s="24" t="str">
        <f>INDEX(Resumes!$F$2:$F$101,MATCH(A154,Resumes!$A$2:$A$101,0))</f>
        <v>Tier-2 institute</v>
      </c>
      <c r="E154" s="24" t="str">
        <f>INDEX(Resumes!$H$2:$H$101,MATCH(A154,Resumes!$A$2:$A$101,0))</f>
        <v>1-year career break (family)</v>
      </c>
      <c r="F154" s="24">
        <f>'Scored Shortlist'!I112</f>
        <v>59</v>
      </c>
      <c r="G154" s="24">
        <f>'Scored Shortlist'!G112</f>
        <v>16</v>
      </c>
      <c r="H154" s="24" t="str">
        <f>'Scored Shortlist'!J112</f>
        <v>Review</v>
      </c>
      <c r="I154" s="24">
        <f t="shared" si="15"/>
        <v>0</v>
      </c>
      <c r="J154" s="24">
        <f t="shared" si="16"/>
        <v>-5</v>
      </c>
      <c r="K154" s="24">
        <f t="shared" si="17"/>
        <v>54</v>
      </c>
      <c r="L154" s="24" t="str">
        <f t="shared" si="18"/>
        <v>Not shortlisted</v>
      </c>
      <c r="M154" s="24">
        <f t="shared" si="19"/>
        <v>1</v>
      </c>
    </row>
    <row r="155" spans="1:13" x14ac:dyDescent="0.25">
      <c r="A155" s="24" t="str">
        <f>'Scored Shortlist'!A113</f>
        <v>CV089</v>
      </c>
      <c r="B155" s="24" t="str">
        <f>'Scored Shortlist'!C113</f>
        <v>JD5</v>
      </c>
      <c r="C155" s="24" t="str">
        <f>INDEX(Resumes!$C$2:$C$101,MATCH(A155,Resumes!$A$2:$A$101,0))</f>
        <v>Female</v>
      </c>
      <c r="D155" s="24" t="str">
        <f>INDEX(Resumes!$F$2:$F$101,MATCH(A155,Resumes!$A$2:$A$101,0))</f>
        <v>Tier-2 institute</v>
      </c>
      <c r="E155" s="24" t="str">
        <f>INDEX(Resumes!$H$2:$H$101,MATCH(A155,Resumes!$A$2:$A$101,0))</f>
        <v>6-month gap (exam preparation)</v>
      </c>
      <c r="F155" s="24">
        <f>'Scored Shortlist'!I113</f>
        <v>58</v>
      </c>
      <c r="G155" s="24">
        <f>'Scored Shortlist'!G113</f>
        <v>12</v>
      </c>
      <c r="H155" s="24" t="str">
        <f>'Scored Shortlist'!J113</f>
        <v>Review</v>
      </c>
      <c r="I155" s="24">
        <f t="shared" si="15"/>
        <v>0</v>
      </c>
      <c r="J155" s="24">
        <f t="shared" si="16"/>
        <v>-5</v>
      </c>
      <c r="K155" s="24">
        <f t="shared" si="17"/>
        <v>53</v>
      </c>
      <c r="L155" s="24" t="str">
        <f t="shared" si="18"/>
        <v>Not shortlisted</v>
      </c>
      <c r="M155" s="24">
        <f t="shared" si="19"/>
        <v>1</v>
      </c>
    </row>
    <row r="156" spans="1:13" x14ac:dyDescent="0.25">
      <c r="A156" s="24" t="str">
        <f>'Scored Shortlist'!A114</f>
        <v>CV099</v>
      </c>
      <c r="B156" s="24" t="str">
        <f>'Scored Shortlist'!C114</f>
        <v>JD5</v>
      </c>
      <c r="C156" s="24" t="str">
        <f>INDEX(Resumes!$C$2:$C$101,MATCH(A156,Resumes!$A$2:$A$101,0))</f>
        <v>Male</v>
      </c>
      <c r="D156" s="24" t="str">
        <f>INDEX(Resumes!$F$2:$F$101,MATCH(A156,Resumes!$A$2:$A$101,0))</f>
        <v>Tier-2 institute</v>
      </c>
      <c r="E156" s="24" t="str">
        <f>INDEX(Resumes!$H$2:$H$101,MATCH(A156,Resumes!$A$2:$A$101,0))</f>
        <v>1-year career break (family)</v>
      </c>
      <c r="F156" s="24">
        <f>'Scored Shortlist'!I114</f>
        <v>58</v>
      </c>
      <c r="G156" s="24">
        <f>'Scored Shortlist'!G114</f>
        <v>12</v>
      </c>
      <c r="H156" s="24" t="str">
        <f>'Scored Shortlist'!J114</f>
        <v>Review</v>
      </c>
      <c r="I156" s="24">
        <f t="shared" si="15"/>
        <v>0</v>
      </c>
      <c r="J156" s="24">
        <f t="shared" si="16"/>
        <v>-5</v>
      </c>
      <c r="K156" s="24">
        <f t="shared" si="17"/>
        <v>53</v>
      </c>
      <c r="L156" s="24" t="str">
        <f t="shared" si="18"/>
        <v>Not shortlisted</v>
      </c>
      <c r="M156" s="24">
        <f t="shared" si="19"/>
        <v>1</v>
      </c>
    </row>
    <row r="157" spans="1:13" x14ac:dyDescent="0.25">
      <c r="A157" s="24" t="str">
        <f>'Scored Shortlist'!A115</f>
        <v>CV022</v>
      </c>
      <c r="B157" s="24" t="str">
        <f>'Scored Shortlist'!C115</f>
        <v>JD5</v>
      </c>
      <c r="C157" s="24" t="str">
        <f>INDEX(Resumes!$C$2:$C$101,MATCH(A157,Resumes!$A$2:$A$101,0))</f>
        <v>Male</v>
      </c>
      <c r="D157" s="24" t="str">
        <f>INDEX(Resumes!$F$2:$F$101,MATCH(A157,Resumes!$A$2:$A$101,0))</f>
        <v>Tier-1 institute</v>
      </c>
      <c r="E157" s="24" t="str">
        <f>INDEX(Resumes!$H$2:$H$101,MATCH(A157,Resumes!$A$2:$A$101,0))</f>
        <v>None</v>
      </c>
      <c r="F157" s="24">
        <f>'Scored Shortlist'!I115</f>
        <v>57</v>
      </c>
      <c r="G157" s="24">
        <f>'Scored Shortlist'!G115</f>
        <v>0</v>
      </c>
      <c r="H157" s="24" t="str">
        <f>'Scored Shortlist'!J115</f>
        <v>Not shortlisted</v>
      </c>
      <c r="I157" s="24">
        <f t="shared" si="15"/>
        <v>5</v>
      </c>
      <c r="J157" s="24">
        <f t="shared" si="16"/>
        <v>0</v>
      </c>
      <c r="K157" s="24">
        <f t="shared" si="17"/>
        <v>62</v>
      </c>
      <c r="L157" s="24" t="str">
        <f t="shared" si="18"/>
        <v>Not shortlisted</v>
      </c>
      <c r="M157" s="24">
        <f t="shared" si="19"/>
        <v>0</v>
      </c>
    </row>
    <row r="158" spans="1:13" x14ac:dyDescent="0.25">
      <c r="A158" s="24" t="str">
        <f>'Scored Shortlist'!A116</f>
        <v>CV093</v>
      </c>
      <c r="B158" s="24" t="str">
        <f>'Scored Shortlist'!C116</f>
        <v>JD5</v>
      </c>
      <c r="C158" s="24" t="str">
        <f>INDEX(Resumes!$C$2:$C$101,MATCH(A158,Resumes!$A$2:$A$101,0))</f>
        <v>Male</v>
      </c>
      <c r="D158" s="24" t="str">
        <f>INDEX(Resumes!$F$2:$F$101,MATCH(A158,Resumes!$A$2:$A$101,0))</f>
        <v>Tier-3 institute</v>
      </c>
      <c r="E158" s="24" t="str">
        <f>INDEX(Resumes!$H$2:$H$101,MATCH(A158,Resumes!$A$2:$A$101,0))</f>
        <v>6-month gap (exam preparation)</v>
      </c>
      <c r="F158" s="24">
        <f>'Scored Shortlist'!I116</f>
        <v>57</v>
      </c>
      <c r="G158" s="24">
        <f>'Scored Shortlist'!G116</f>
        <v>16</v>
      </c>
      <c r="H158" s="24" t="str">
        <f>'Scored Shortlist'!J116</f>
        <v>Review</v>
      </c>
      <c r="I158" s="24">
        <f t="shared" si="15"/>
        <v>-5</v>
      </c>
      <c r="J158" s="24">
        <f t="shared" si="16"/>
        <v>-5</v>
      </c>
      <c r="K158" s="24">
        <f t="shared" si="17"/>
        <v>47</v>
      </c>
      <c r="L158" s="24" t="str">
        <f t="shared" si="18"/>
        <v>Not shortlisted</v>
      </c>
      <c r="M158" s="24">
        <f t="shared" si="19"/>
        <v>1</v>
      </c>
    </row>
    <row r="159" spans="1:13" x14ac:dyDescent="0.25">
      <c r="A159" s="24" t="str">
        <f>'Scored Shortlist'!A117</f>
        <v>CV028</v>
      </c>
      <c r="B159" s="24" t="str">
        <f>'Scored Shortlist'!C117</f>
        <v>JD5</v>
      </c>
      <c r="C159" s="24" t="str">
        <f>INDEX(Resumes!$C$2:$C$101,MATCH(A159,Resumes!$A$2:$A$101,0))</f>
        <v>Female</v>
      </c>
      <c r="D159" s="24" t="str">
        <f>INDEX(Resumes!$F$2:$F$101,MATCH(A159,Resumes!$A$2:$A$101,0))</f>
        <v>Tier-1 institute</v>
      </c>
      <c r="E159" s="24" t="str">
        <f>INDEX(Resumes!$H$2:$H$101,MATCH(A159,Resumes!$A$2:$A$101,0))</f>
        <v>None</v>
      </c>
      <c r="F159" s="24">
        <f>'Scored Shortlist'!I117</f>
        <v>56</v>
      </c>
      <c r="G159" s="24">
        <f>'Scored Shortlist'!G117</f>
        <v>12</v>
      </c>
      <c r="H159" s="24" t="str">
        <f>'Scored Shortlist'!J117</f>
        <v>Review</v>
      </c>
      <c r="I159" s="24">
        <f t="shared" si="15"/>
        <v>5</v>
      </c>
      <c r="J159" s="24">
        <f t="shared" si="16"/>
        <v>0</v>
      </c>
      <c r="K159" s="24">
        <f t="shared" si="17"/>
        <v>61</v>
      </c>
      <c r="L159" s="24" t="str">
        <f t="shared" si="18"/>
        <v>Shortlist</v>
      </c>
      <c r="M159" s="24">
        <f t="shared" si="19"/>
        <v>1</v>
      </c>
    </row>
    <row r="160" spans="1:13" x14ac:dyDescent="0.25">
      <c r="A160" s="24" t="str">
        <f>'Scored Shortlist'!A118</f>
        <v>CV008</v>
      </c>
      <c r="B160" s="24" t="str">
        <f>'Scored Shortlist'!C118</f>
        <v>JD5</v>
      </c>
      <c r="C160" s="24" t="str">
        <f>INDEX(Resumes!$C$2:$C$101,MATCH(A160,Resumes!$A$2:$A$101,0))</f>
        <v>Female</v>
      </c>
      <c r="D160" s="24" t="str">
        <f>INDEX(Resumes!$F$2:$F$101,MATCH(A160,Resumes!$A$2:$A$101,0))</f>
        <v>Tier-3 institute</v>
      </c>
      <c r="E160" s="24" t="str">
        <f>INDEX(Resumes!$H$2:$H$101,MATCH(A160,Resumes!$A$2:$A$101,0))</f>
        <v>None</v>
      </c>
      <c r="F160" s="24">
        <f>'Scored Shortlist'!I118</f>
        <v>55</v>
      </c>
      <c r="G160" s="24">
        <f>'Scored Shortlist'!G118</f>
        <v>12</v>
      </c>
      <c r="H160" s="24" t="str">
        <f>'Scored Shortlist'!J118</f>
        <v>Review</v>
      </c>
      <c r="I160" s="24">
        <f t="shared" si="15"/>
        <v>-5</v>
      </c>
      <c r="J160" s="24">
        <f t="shared" si="16"/>
        <v>0</v>
      </c>
      <c r="K160" s="24">
        <f t="shared" si="17"/>
        <v>50</v>
      </c>
      <c r="L160" s="24" t="str">
        <f t="shared" si="18"/>
        <v>Not shortlisted</v>
      </c>
      <c r="M160" s="24">
        <f t="shared" si="19"/>
        <v>1</v>
      </c>
    </row>
    <row r="161" spans="1:13" x14ac:dyDescent="0.25">
      <c r="A161" s="24" t="str">
        <f>'Scored Shortlist'!A119</f>
        <v>CV039</v>
      </c>
      <c r="B161" s="24" t="str">
        <f>'Scored Shortlist'!C119</f>
        <v>JD5</v>
      </c>
      <c r="C161" s="24" t="str">
        <f>INDEX(Resumes!$C$2:$C$101,MATCH(A161,Resumes!$A$2:$A$101,0))</f>
        <v>Male</v>
      </c>
      <c r="D161" s="24" t="str">
        <f>INDEX(Resumes!$F$2:$F$101,MATCH(A161,Resumes!$A$2:$A$101,0))</f>
        <v>Tier-2 institute</v>
      </c>
      <c r="E161" s="24" t="str">
        <f>INDEX(Resumes!$H$2:$H$101,MATCH(A161,Resumes!$A$2:$A$101,0))</f>
        <v>1-year career break (family)</v>
      </c>
      <c r="F161" s="24">
        <f>'Scored Shortlist'!I119</f>
        <v>55</v>
      </c>
      <c r="G161" s="24">
        <f>'Scored Shortlist'!G119</f>
        <v>12</v>
      </c>
      <c r="H161" s="24" t="str">
        <f>'Scored Shortlist'!J119</f>
        <v>Review</v>
      </c>
      <c r="I161" s="24">
        <f t="shared" si="15"/>
        <v>0</v>
      </c>
      <c r="J161" s="24">
        <f t="shared" si="16"/>
        <v>-5</v>
      </c>
      <c r="K161" s="24">
        <f t="shared" si="17"/>
        <v>50</v>
      </c>
      <c r="L161" s="24" t="str">
        <f t="shared" si="18"/>
        <v>Not shortlisted</v>
      </c>
      <c r="M161" s="24">
        <f t="shared" si="19"/>
        <v>1</v>
      </c>
    </row>
    <row r="162" spans="1:13" x14ac:dyDescent="0.25">
      <c r="A162" s="24" t="str">
        <f>'Scored Shortlist'!A120</f>
        <v>CV063</v>
      </c>
      <c r="B162" s="24" t="str">
        <f>'Scored Shortlist'!C120</f>
        <v>JD5</v>
      </c>
      <c r="C162" s="24" t="str">
        <f>INDEX(Resumes!$C$2:$C$101,MATCH(A162,Resumes!$A$2:$A$101,0))</f>
        <v>Female</v>
      </c>
      <c r="D162" s="24" t="str">
        <f>INDEX(Resumes!$F$2:$F$101,MATCH(A162,Resumes!$A$2:$A$101,0))</f>
        <v>Tier-2 institute</v>
      </c>
      <c r="E162" s="24" t="str">
        <f>INDEX(Resumes!$H$2:$H$101,MATCH(A162,Resumes!$A$2:$A$101,0))</f>
        <v>None</v>
      </c>
      <c r="F162" s="24">
        <f>'Scored Shortlist'!I120</f>
        <v>55</v>
      </c>
      <c r="G162" s="24">
        <f>'Scored Shortlist'!G120</f>
        <v>12</v>
      </c>
      <c r="H162" s="24" t="str">
        <f>'Scored Shortlist'!J120</f>
        <v>Review</v>
      </c>
      <c r="I162" s="24">
        <f t="shared" si="15"/>
        <v>0</v>
      </c>
      <c r="J162" s="24">
        <f t="shared" si="16"/>
        <v>0</v>
      </c>
      <c r="K162" s="24">
        <f t="shared" si="17"/>
        <v>55</v>
      </c>
      <c r="L162" s="24" t="str">
        <f t="shared" si="18"/>
        <v>Review</v>
      </c>
      <c r="M162" s="24">
        <f t="shared" si="19"/>
        <v>0</v>
      </c>
    </row>
    <row r="163" spans="1:13" x14ac:dyDescent="0.25">
      <c r="A163" s="24" t="str">
        <f>'Scored Shortlist'!A121</f>
        <v>CV067</v>
      </c>
      <c r="B163" s="24" t="str">
        <f>'Scored Shortlist'!C121</f>
        <v>JD5</v>
      </c>
      <c r="C163" s="24" t="str">
        <f>INDEX(Resumes!$C$2:$C$101,MATCH(A163,Resumes!$A$2:$A$101,0))</f>
        <v>Female</v>
      </c>
      <c r="D163" s="24" t="str">
        <f>INDEX(Resumes!$F$2:$F$101,MATCH(A163,Resumes!$A$2:$A$101,0))</f>
        <v>Tier-3 institute</v>
      </c>
      <c r="E163" s="24" t="str">
        <f>INDEX(Resumes!$H$2:$H$101,MATCH(A163,Resumes!$A$2:$A$101,0))</f>
        <v>6-month gap (exam preparation)</v>
      </c>
      <c r="F163" s="24">
        <f>'Scored Shortlist'!I121</f>
        <v>55</v>
      </c>
      <c r="G163" s="24">
        <f>'Scored Shortlist'!G121</f>
        <v>28</v>
      </c>
      <c r="H163" s="24" t="str">
        <f>'Scored Shortlist'!J121</f>
        <v>Review</v>
      </c>
      <c r="I163" s="24">
        <f t="shared" si="15"/>
        <v>-5</v>
      </c>
      <c r="J163" s="24">
        <f t="shared" si="16"/>
        <v>-5</v>
      </c>
      <c r="K163" s="24">
        <f t="shared" si="17"/>
        <v>45</v>
      </c>
      <c r="L163" s="24" t="str">
        <f t="shared" si="18"/>
        <v>Not shortlisted</v>
      </c>
      <c r="M163" s="24">
        <f t="shared" si="19"/>
        <v>1</v>
      </c>
    </row>
    <row r="164" spans="1:13" x14ac:dyDescent="0.25">
      <c r="A164" s="24" t="str">
        <f>'Scored Shortlist'!A122</f>
        <v>CV072</v>
      </c>
      <c r="B164" s="24" t="str">
        <f>'Scored Shortlist'!C122</f>
        <v>JD5</v>
      </c>
      <c r="C164" s="24" t="str">
        <f>INDEX(Resumes!$C$2:$C$101,MATCH(A164,Resumes!$A$2:$A$101,0))</f>
        <v>Male</v>
      </c>
      <c r="D164" s="24" t="str">
        <f>INDEX(Resumes!$F$2:$F$101,MATCH(A164,Resumes!$A$2:$A$101,0))</f>
        <v>Tier-2 institute</v>
      </c>
      <c r="E164" s="24" t="str">
        <f>INDEX(Resumes!$H$2:$H$101,MATCH(A164,Resumes!$A$2:$A$101,0))</f>
        <v>None</v>
      </c>
      <c r="F164" s="24">
        <f>'Scored Shortlist'!I122</f>
        <v>55</v>
      </c>
      <c r="G164" s="24">
        <f>'Scored Shortlist'!G122</f>
        <v>8</v>
      </c>
      <c r="H164" s="24" t="str">
        <f>'Scored Shortlist'!J122</f>
        <v>Review</v>
      </c>
      <c r="I164" s="24">
        <f t="shared" si="15"/>
        <v>0</v>
      </c>
      <c r="J164" s="24">
        <f t="shared" si="16"/>
        <v>0</v>
      </c>
      <c r="K164" s="24">
        <f t="shared" si="17"/>
        <v>55</v>
      </c>
      <c r="L164" s="24" t="str">
        <f t="shared" si="18"/>
        <v>Review</v>
      </c>
      <c r="M164" s="24">
        <f t="shared" si="19"/>
        <v>0</v>
      </c>
    </row>
    <row r="165" spans="1:13" x14ac:dyDescent="0.25">
      <c r="A165" s="24" t="str">
        <f>'Scored Shortlist'!A123</f>
        <v>CV059</v>
      </c>
      <c r="B165" s="24" t="str">
        <f>'Scored Shortlist'!C123</f>
        <v>JD5</v>
      </c>
      <c r="C165" s="24" t="str">
        <f>INDEX(Resumes!$C$2:$C$101,MATCH(A165,Resumes!$A$2:$A$101,0))</f>
        <v>Female</v>
      </c>
      <c r="D165" s="24" t="str">
        <f>INDEX(Resumes!$F$2:$F$101,MATCH(A165,Resumes!$A$2:$A$101,0))</f>
        <v>Tier-1 institute</v>
      </c>
      <c r="E165" s="24" t="str">
        <f>INDEX(Resumes!$H$2:$H$101,MATCH(A165,Resumes!$A$2:$A$101,0))</f>
        <v>1-year career break (family)</v>
      </c>
      <c r="F165" s="24">
        <f>'Scored Shortlist'!I123</f>
        <v>54</v>
      </c>
      <c r="G165" s="24">
        <f>'Scored Shortlist'!G123</f>
        <v>24</v>
      </c>
      <c r="H165" s="24" t="str">
        <f>'Scored Shortlist'!J123</f>
        <v>Not shortlisted</v>
      </c>
      <c r="I165" s="24">
        <f t="shared" si="15"/>
        <v>5</v>
      </c>
      <c r="J165" s="24">
        <f t="shared" si="16"/>
        <v>-5</v>
      </c>
      <c r="K165" s="24">
        <f t="shared" si="17"/>
        <v>54</v>
      </c>
      <c r="L165" s="24" t="str">
        <f t="shared" si="18"/>
        <v>Not shortlisted</v>
      </c>
      <c r="M165" s="24">
        <f t="shared" si="19"/>
        <v>0</v>
      </c>
    </row>
    <row r="166" spans="1:13" x14ac:dyDescent="0.25">
      <c r="A166" s="24" t="str">
        <f>'Scored Shortlist'!A124</f>
        <v>CV033</v>
      </c>
      <c r="B166" s="24" t="str">
        <f>'Scored Shortlist'!C124</f>
        <v>JD5</v>
      </c>
      <c r="C166" s="24" t="str">
        <f>INDEX(Resumes!$C$2:$C$101,MATCH(A166,Resumes!$A$2:$A$101,0))</f>
        <v>Male</v>
      </c>
      <c r="D166" s="24" t="str">
        <f>INDEX(Resumes!$F$2:$F$101,MATCH(A166,Resumes!$A$2:$A$101,0))</f>
        <v>Tier-2 institute</v>
      </c>
      <c r="E166" s="24" t="str">
        <f>INDEX(Resumes!$H$2:$H$101,MATCH(A166,Resumes!$A$2:$A$101,0))</f>
        <v>None</v>
      </c>
      <c r="F166" s="24">
        <f>'Scored Shortlist'!I124</f>
        <v>53</v>
      </c>
      <c r="G166" s="24">
        <f>'Scored Shortlist'!G124</f>
        <v>8</v>
      </c>
      <c r="H166" s="24" t="str">
        <f>'Scored Shortlist'!J124</f>
        <v>Not shortlisted</v>
      </c>
      <c r="I166" s="24">
        <f t="shared" si="15"/>
        <v>0</v>
      </c>
      <c r="J166" s="24">
        <f t="shared" si="16"/>
        <v>0</v>
      </c>
      <c r="K166" s="24">
        <f t="shared" si="17"/>
        <v>53</v>
      </c>
      <c r="L166" s="24" t="str">
        <f t="shared" si="18"/>
        <v>Not shortlisted</v>
      </c>
      <c r="M166" s="24">
        <f t="shared" si="19"/>
        <v>0</v>
      </c>
    </row>
    <row r="167" spans="1:13" x14ac:dyDescent="0.25">
      <c r="A167" s="24" t="str">
        <f>'Scored Shortlist'!A125</f>
        <v>CV049</v>
      </c>
      <c r="B167" s="24" t="str">
        <f>'Scored Shortlist'!C125</f>
        <v>JD5</v>
      </c>
      <c r="C167" s="24" t="str">
        <f>INDEX(Resumes!$C$2:$C$101,MATCH(A167,Resumes!$A$2:$A$101,0))</f>
        <v>Male</v>
      </c>
      <c r="D167" s="24" t="str">
        <f>INDEX(Resumes!$F$2:$F$101,MATCH(A167,Resumes!$A$2:$A$101,0))</f>
        <v>Tier-2 institute</v>
      </c>
      <c r="E167" s="24" t="str">
        <f>INDEX(Resumes!$H$2:$H$101,MATCH(A167,Resumes!$A$2:$A$101,0))</f>
        <v>1-year career break (family)</v>
      </c>
      <c r="F167" s="24">
        <f>'Scored Shortlist'!I125</f>
        <v>53</v>
      </c>
      <c r="G167" s="24">
        <f>'Scored Shortlist'!G125</f>
        <v>8</v>
      </c>
      <c r="H167" s="24" t="str">
        <f>'Scored Shortlist'!J125</f>
        <v>Not shortlisted</v>
      </c>
      <c r="I167" s="24">
        <f t="shared" si="15"/>
        <v>0</v>
      </c>
      <c r="J167" s="24">
        <f t="shared" si="16"/>
        <v>-5</v>
      </c>
      <c r="K167" s="24">
        <f t="shared" si="17"/>
        <v>48</v>
      </c>
      <c r="L167" s="24" t="str">
        <f t="shared" si="18"/>
        <v>Not shortlisted</v>
      </c>
      <c r="M167" s="24">
        <f t="shared" si="19"/>
        <v>0</v>
      </c>
    </row>
    <row r="168" spans="1:13" x14ac:dyDescent="0.25">
      <c r="A168" s="24" t="str">
        <f>'Scored Shortlist'!A126</f>
        <v>CV081</v>
      </c>
      <c r="B168" s="24" t="str">
        <f>'Scored Shortlist'!C126</f>
        <v>JD5</v>
      </c>
      <c r="C168" s="24" t="str">
        <f>INDEX(Resumes!$C$2:$C$101,MATCH(A168,Resumes!$A$2:$A$101,0))</f>
        <v>Male</v>
      </c>
      <c r="D168" s="24" t="str">
        <f>INDEX(Resumes!$F$2:$F$101,MATCH(A168,Resumes!$A$2:$A$101,0))</f>
        <v>Tier-2 institute</v>
      </c>
      <c r="E168" s="24" t="str">
        <f>INDEX(Resumes!$H$2:$H$101,MATCH(A168,Resumes!$A$2:$A$101,0))</f>
        <v>None</v>
      </c>
      <c r="F168" s="24">
        <f>'Scored Shortlist'!I126</f>
        <v>53</v>
      </c>
      <c r="G168" s="24">
        <f>'Scored Shortlist'!G126</f>
        <v>8</v>
      </c>
      <c r="H168" s="24" t="str">
        <f>'Scored Shortlist'!J126</f>
        <v>Not shortlisted</v>
      </c>
      <c r="I168" s="24">
        <f t="shared" si="15"/>
        <v>0</v>
      </c>
      <c r="J168" s="24">
        <f t="shared" si="16"/>
        <v>0</v>
      </c>
      <c r="K168" s="24">
        <f t="shared" si="17"/>
        <v>53</v>
      </c>
      <c r="L168" s="24" t="str">
        <f t="shared" si="18"/>
        <v>Not shortlisted</v>
      </c>
      <c r="M168" s="24">
        <f t="shared" si="19"/>
        <v>0</v>
      </c>
    </row>
    <row r="169" spans="1:13" x14ac:dyDescent="0.25">
      <c r="A169" s="24" t="str">
        <f>'Scored Shortlist'!A127</f>
        <v>CV011</v>
      </c>
      <c r="B169" s="24" t="str">
        <f>'Scored Shortlist'!C127</f>
        <v>JD5</v>
      </c>
      <c r="C169" s="24" t="str">
        <f>INDEX(Resumes!$C$2:$C$101,MATCH(A169,Resumes!$A$2:$A$101,0))</f>
        <v>Female</v>
      </c>
      <c r="D169" s="24" t="str">
        <f>INDEX(Resumes!$F$2:$F$101,MATCH(A169,Resumes!$A$2:$A$101,0))</f>
        <v>Tier-2 institute</v>
      </c>
      <c r="E169" s="24" t="str">
        <f>INDEX(Resumes!$H$2:$H$101,MATCH(A169,Resumes!$A$2:$A$101,0))</f>
        <v>None</v>
      </c>
      <c r="F169" s="24">
        <f>'Scored Shortlist'!I127</f>
        <v>52</v>
      </c>
      <c r="G169" s="24">
        <f>'Scored Shortlist'!G127</f>
        <v>8</v>
      </c>
      <c r="H169" s="24" t="str">
        <f>'Scored Shortlist'!J127</f>
        <v>Not shortlisted</v>
      </c>
      <c r="I169" s="24">
        <f t="shared" si="15"/>
        <v>0</v>
      </c>
      <c r="J169" s="24">
        <f t="shared" si="16"/>
        <v>0</v>
      </c>
      <c r="K169" s="24">
        <f t="shared" si="17"/>
        <v>52</v>
      </c>
      <c r="L169" s="24" t="str">
        <f t="shared" si="18"/>
        <v>Not shortlisted</v>
      </c>
      <c r="M169" s="24">
        <f t="shared" si="19"/>
        <v>0</v>
      </c>
    </row>
    <row r="170" spans="1:13" x14ac:dyDescent="0.25">
      <c r="A170" s="24" t="str">
        <f>'Scored Shortlist'!A128</f>
        <v>CV034</v>
      </c>
      <c r="B170" s="24" t="str">
        <f>'Scored Shortlist'!C128</f>
        <v>JD5</v>
      </c>
      <c r="C170" s="24" t="str">
        <f>INDEX(Resumes!$C$2:$C$101,MATCH(A170,Resumes!$A$2:$A$101,0))</f>
        <v>Female</v>
      </c>
      <c r="D170" s="24" t="str">
        <f>INDEX(Resumes!$F$2:$F$101,MATCH(A170,Resumes!$A$2:$A$101,0))</f>
        <v>Tier-3 institute</v>
      </c>
      <c r="E170" s="24" t="str">
        <f>INDEX(Resumes!$H$2:$H$101,MATCH(A170,Resumes!$A$2:$A$101,0))</f>
        <v>None</v>
      </c>
      <c r="F170" s="24">
        <f>'Scored Shortlist'!I128</f>
        <v>52</v>
      </c>
      <c r="G170" s="24">
        <f>'Scored Shortlist'!G128</f>
        <v>8</v>
      </c>
      <c r="H170" s="24" t="str">
        <f>'Scored Shortlist'!J128</f>
        <v>Not shortlisted</v>
      </c>
      <c r="I170" s="24">
        <f t="shared" si="15"/>
        <v>-5</v>
      </c>
      <c r="J170" s="24">
        <f t="shared" si="16"/>
        <v>0</v>
      </c>
      <c r="K170" s="24">
        <f t="shared" si="17"/>
        <v>47</v>
      </c>
      <c r="L170" s="24" t="str">
        <f t="shared" si="18"/>
        <v>Not shortlisted</v>
      </c>
      <c r="M170" s="24">
        <f t="shared" si="19"/>
        <v>0</v>
      </c>
    </row>
    <row r="171" spans="1:13" x14ac:dyDescent="0.25">
      <c r="A171" s="24" t="str">
        <f>'Scored Shortlist'!A129</f>
        <v>CV064</v>
      </c>
      <c r="B171" s="24" t="str">
        <f>'Scored Shortlist'!C129</f>
        <v>JD5</v>
      </c>
      <c r="C171" s="24" t="str">
        <f>INDEX(Resumes!$C$2:$C$101,MATCH(A171,Resumes!$A$2:$A$101,0))</f>
        <v>Female</v>
      </c>
      <c r="D171" s="24" t="str">
        <f>INDEX(Resumes!$F$2:$F$101,MATCH(A171,Resumes!$A$2:$A$101,0))</f>
        <v>Tier-2 institute</v>
      </c>
      <c r="E171" s="24" t="str">
        <f>INDEX(Resumes!$H$2:$H$101,MATCH(A171,Resumes!$A$2:$A$101,0))</f>
        <v>None</v>
      </c>
      <c r="F171" s="24">
        <f>'Scored Shortlist'!I129</f>
        <v>52</v>
      </c>
      <c r="G171" s="24">
        <f>'Scored Shortlist'!G129</f>
        <v>12</v>
      </c>
      <c r="H171" s="24" t="str">
        <f>'Scored Shortlist'!J129</f>
        <v>Not shortlisted</v>
      </c>
      <c r="I171" s="24">
        <f t="shared" si="15"/>
        <v>0</v>
      </c>
      <c r="J171" s="24">
        <f t="shared" si="16"/>
        <v>0</v>
      </c>
      <c r="K171" s="24">
        <f t="shared" si="17"/>
        <v>52</v>
      </c>
      <c r="L171" s="24" t="str">
        <f t="shared" si="18"/>
        <v>Not shortlisted</v>
      </c>
      <c r="M171" s="24">
        <f t="shared" si="19"/>
        <v>0</v>
      </c>
    </row>
    <row r="172" spans="1:13" x14ac:dyDescent="0.25">
      <c r="A172" s="24" t="str">
        <f>'Scored Shortlist'!A130</f>
        <v>CV090</v>
      </c>
      <c r="B172" s="24" t="str">
        <f>'Scored Shortlist'!C130</f>
        <v>JD5</v>
      </c>
      <c r="C172" s="24" t="str">
        <f>INDEX(Resumes!$C$2:$C$101,MATCH(A172,Resumes!$A$2:$A$101,0))</f>
        <v>Male</v>
      </c>
      <c r="D172" s="24" t="str">
        <f>INDEX(Resumes!$F$2:$F$101,MATCH(A172,Resumes!$A$2:$A$101,0))</f>
        <v>Tier-3 institute</v>
      </c>
      <c r="E172" s="24" t="str">
        <f>INDEX(Resumes!$H$2:$H$101,MATCH(A172,Resumes!$A$2:$A$101,0))</f>
        <v>6-month gap (exam preparation)</v>
      </c>
      <c r="F172" s="24">
        <f>'Scored Shortlist'!I130</f>
        <v>52</v>
      </c>
      <c r="G172" s="24">
        <f>'Scored Shortlist'!G130</f>
        <v>8</v>
      </c>
      <c r="H172" s="24" t="str">
        <f>'Scored Shortlist'!J130</f>
        <v>Not shortlisted</v>
      </c>
      <c r="I172" s="24">
        <f t="shared" si="15"/>
        <v>-5</v>
      </c>
      <c r="J172" s="24">
        <f t="shared" si="16"/>
        <v>-5</v>
      </c>
      <c r="K172" s="24">
        <f t="shared" si="17"/>
        <v>42</v>
      </c>
      <c r="L172" s="24" t="str">
        <f t="shared" si="18"/>
        <v>Not shortlisted</v>
      </c>
      <c r="M172" s="24">
        <f t="shared" si="19"/>
        <v>0</v>
      </c>
    </row>
    <row r="173" spans="1:13" x14ac:dyDescent="0.25">
      <c r="A173" s="24" t="str">
        <f>'Scored Shortlist'!A131</f>
        <v>CV024</v>
      </c>
      <c r="B173" s="24" t="str">
        <f>'Scored Shortlist'!C131</f>
        <v>JD5</v>
      </c>
      <c r="C173" s="24" t="str">
        <f>INDEX(Resumes!$C$2:$C$101,MATCH(A173,Resumes!$A$2:$A$101,0))</f>
        <v>Female</v>
      </c>
      <c r="D173" s="24" t="str">
        <f>INDEX(Resumes!$F$2:$F$101,MATCH(A173,Resumes!$A$2:$A$101,0))</f>
        <v>Tier-2 institute</v>
      </c>
      <c r="E173" s="24" t="str">
        <f>INDEX(Resumes!$H$2:$H$101,MATCH(A173,Resumes!$A$2:$A$101,0))</f>
        <v>1-year career break (family)</v>
      </c>
      <c r="F173" s="24">
        <f>'Scored Shortlist'!I131</f>
        <v>51</v>
      </c>
      <c r="G173" s="24">
        <f>'Scored Shortlist'!G131</f>
        <v>16</v>
      </c>
      <c r="H173" s="24" t="str">
        <f>'Scored Shortlist'!J131</f>
        <v>Not shortlisted</v>
      </c>
      <c r="I173" s="24">
        <f t="shared" si="15"/>
        <v>0</v>
      </c>
      <c r="J173" s="24">
        <f t="shared" si="16"/>
        <v>-5</v>
      </c>
      <c r="K173" s="24">
        <f t="shared" si="17"/>
        <v>46</v>
      </c>
      <c r="L173" s="24" t="str">
        <f t="shared" si="18"/>
        <v>Not shortlisted</v>
      </c>
      <c r="M173" s="24">
        <f t="shared" si="19"/>
        <v>0</v>
      </c>
    </row>
    <row r="174" spans="1:13" x14ac:dyDescent="0.25">
      <c r="A174" s="24" t="str">
        <f>'Scored Shortlist'!A132</f>
        <v>CV046</v>
      </c>
      <c r="B174" s="24" t="str">
        <f>'Scored Shortlist'!C132</f>
        <v>JD5</v>
      </c>
      <c r="C174" s="24" t="str">
        <f>INDEX(Resumes!$C$2:$C$101,MATCH(A174,Resumes!$A$2:$A$101,0))</f>
        <v>Female</v>
      </c>
      <c r="D174" s="24" t="str">
        <f>INDEX(Resumes!$F$2:$F$101,MATCH(A174,Resumes!$A$2:$A$101,0))</f>
        <v>Tier-3 institute</v>
      </c>
      <c r="E174" s="24" t="str">
        <f>INDEX(Resumes!$H$2:$H$101,MATCH(A174,Resumes!$A$2:$A$101,0))</f>
        <v>None</v>
      </c>
      <c r="F174" s="24">
        <f>'Scored Shortlist'!I132</f>
        <v>51</v>
      </c>
      <c r="G174" s="24">
        <f>'Scored Shortlist'!G132</f>
        <v>8</v>
      </c>
      <c r="H174" s="24" t="str">
        <f>'Scored Shortlist'!J132</f>
        <v>Not shortlisted</v>
      </c>
      <c r="I174" s="24">
        <f t="shared" ref="I174:I205" si="20">IF(D174="Tier-1 institute",$B$16,IF(D174="Tier-3 institute",$B$17,0))</f>
        <v>-5</v>
      </c>
      <c r="J174" s="24">
        <f t="shared" ref="J174:J205" si="21">IF(E174="None",0,$B$18)</f>
        <v>0</v>
      </c>
      <c r="K174" s="24">
        <f t="shared" ref="K174:K205" si="22">F174+I174+J174</f>
        <v>46</v>
      </c>
      <c r="L174" s="24" t="str">
        <f t="shared" ref="L174:L205" si="23">IF(AND(K174&gt;=SL_CUT,G174&gt;=SL_SKILL),"Shortlist",IF(AND(K174&gt;=RV_CUT,G174&gt;=RV_SKILL),"Review","Not shortlisted"))</f>
        <v>Not shortlisted</v>
      </c>
      <c r="M174" s="24">
        <f t="shared" ref="M174:M205" si="24">IF(H174&lt;&gt;L174,1,0)</f>
        <v>0</v>
      </c>
    </row>
    <row r="175" spans="1:13" x14ac:dyDescent="0.25">
      <c r="A175" s="24" t="str">
        <f>'Scored Shortlist'!A133</f>
        <v>CV004</v>
      </c>
      <c r="B175" s="24" t="str">
        <f>'Scored Shortlist'!C133</f>
        <v>JD5</v>
      </c>
      <c r="C175" s="24" t="str">
        <f>INDEX(Resumes!$C$2:$C$101,MATCH(A175,Resumes!$A$2:$A$101,0))</f>
        <v>Female</v>
      </c>
      <c r="D175" s="24" t="str">
        <f>INDEX(Resumes!$F$2:$F$101,MATCH(A175,Resumes!$A$2:$A$101,0))</f>
        <v>Tier-2 institute</v>
      </c>
      <c r="E175" s="24" t="str">
        <f>INDEX(Resumes!$H$2:$H$101,MATCH(A175,Resumes!$A$2:$A$101,0))</f>
        <v>None</v>
      </c>
      <c r="F175" s="24">
        <f>'Scored Shortlist'!I133</f>
        <v>50</v>
      </c>
      <c r="G175" s="24">
        <f>'Scored Shortlist'!G133</f>
        <v>12</v>
      </c>
      <c r="H175" s="24" t="str">
        <f>'Scored Shortlist'!J133</f>
        <v>Not shortlisted</v>
      </c>
      <c r="I175" s="24">
        <f t="shared" si="20"/>
        <v>0</v>
      </c>
      <c r="J175" s="24">
        <f t="shared" si="21"/>
        <v>0</v>
      </c>
      <c r="K175" s="24">
        <f t="shared" si="22"/>
        <v>50</v>
      </c>
      <c r="L175" s="24" t="str">
        <f t="shared" si="23"/>
        <v>Not shortlisted</v>
      </c>
      <c r="M175" s="24">
        <f t="shared" si="24"/>
        <v>0</v>
      </c>
    </row>
    <row r="176" spans="1:13" x14ac:dyDescent="0.25">
      <c r="A176" s="24" t="str">
        <f>'Scored Shortlist'!A134</f>
        <v>CV035</v>
      </c>
      <c r="B176" s="24" t="str">
        <f>'Scored Shortlist'!C134</f>
        <v>JD5</v>
      </c>
      <c r="C176" s="24" t="str">
        <f>INDEX(Resumes!$C$2:$C$101,MATCH(A176,Resumes!$A$2:$A$101,0))</f>
        <v>Male</v>
      </c>
      <c r="D176" s="24" t="str">
        <f>INDEX(Resumes!$F$2:$F$101,MATCH(A176,Resumes!$A$2:$A$101,0))</f>
        <v>Tier-2 institute</v>
      </c>
      <c r="E176" s="24" t="str">
        <f>INDEX(Resumes!$H$2:$H$101,MATCH(A176,Resumes!$A$2:$A$101,0))</f>
        <v>None</v>
      </c>
      <c r="F176" s="24">
        <f>'Scored Shortlist'!I134</f>
        <v>50</v>
      </c>
      <c r="G176" s="24">
        <f>'Scored Shortlist'!G134</f>
        <v>24</v>
      </c>
      <c r="H176" s="24" t="str">
        <f>'Scored Shortlist'!J134</f>
        <v>Not shortlisted</v>
      </c>
      <c r="I176" s="24">
        <f t="shared" si="20"/>
        <v>0</v>
      </c>
      <c r="J176" s="24">
        <f t="shared" si="21"/>
        <v>0</v>
      </c>
      <c r="K176" s="24">
        <f t="shared" si="22"/>
        <v>50</v>
      </c>
      <c r="L176" s="24" t="str">
        <f t="shared" si="23"/>
        <v>Not shortlisted</v>
      </c>
      <c r="M176" s="24">
        <f t="shared" si="24"/>
        <v>0</v>
      </c>
    </row>
    <row r="177" spans="1:13" x14ac:dyDescent="0.25">
      <c r="A177" s="24" t="str">
        <f>'Scored Shortlist'!A135</f>
        <v>CV054</v>
      </c>
      <c r="B177" s="24" t="str">
        <f>'Scored Shortlist'!C135</f>
        <v>JD5</v>
      </c>
      <c r="C177" s="24" t="str">
        <f>INDEX(Resumes!$C$2:$C$101,MATCH(A177,Resumes!$A$2:$A$101,0))</f>
        <v>Female</v>
      </c>
      <c r="D177" s="24" t="str">
        <f>INDEX(Resumes!$F$2:$F$101,MATCH(A177,Resumes!$A$2:$A$101,0))</f>
        <v>Tier-1 institute</v>
      </c>
      <c r="E177" s="24" t="str">
        <f>INDEX(Resumes!$H$2:$H$101,MATCH(A177,Resumes!$A$2:$A$101,0))</f>
        <v>None</v>
      </c>
      <c r="F177" s="24">
        <f>'Scored Shortlist'!I135</f>
        <v>50</v>
      </c>
      <c r="G177" s="24">
        <f>'Scored Shortlist'!G135</f>
        <v>8</v>
      </c>
      <c r="H177" s="24" t="str">
        <f>'Scored Shortlist'!J135</f>
        <v>Not shortlisted</v>
      </c>
      <c r="I177" s="24">
        <f t="shared" si="20"/>
        <v>5</v>
      </c>
      <c r="J177" s="24">
        <f t="shared" si="21"/>
        <v>0</v>
      </c>
      <c r="K177" s="24">
        <f t="shared" si="22"/>
        <v>55</v>
      </c>
      <c r="L177" s="24" t="str">
        <f t="shared" si="23"/>
        <v>Review</v>
      </c>
      <c r="M177" s="24">
        <f t="shared" si="24"/>
        <v>1</v>
      </c>
    </row>
    <row r="178" spans="1:13" x14ac:dyDescent="0.25">
      <c r="A178" s="24" t="str">
        <f>'Scored Shortlist'!A136</f>
        <v>CV060</v>
      </c>
      <c r="B178" s="24" t="str">
        <f>'Scored Shortlist'!C136</f>
        <v>JD5</v>
      </c>
      <c r="C178" s="24" t="str">
        <f>INDEX(Resumes!$C$2:$C$101,MATCH(A178,Resumes!$A$2:$A$101,0))</f>
        <v>Male</v>
      </c>
      <c r="D178" s="24" t="str">
        <f>INDEX(Resumes!$F$2:$F$101,MATCH(A178,Resumes!$A$2:$A$101,0))</f>
        <v>Tier-2 institute</v>
      </c>
      <c r="E178" s="24" t="str">
        <f>INDEX(Resumes!$H$2:$H$101,MATCH(A178,Resumes!$A$2:$A$101,0))</f>
        <v>None</v>
      </c>
      <c r="F178" s="24">
        <f>'Scored Shortlist'!I136</f>
        <v>49</v>
      </c>
      <c r="G178" s="24">
        <f>'Scored Shortlist'!G136</f>
        <v>16</v>
      </c>
      <c r="H178" s="24" t="str">
        <f>'Scored Shortlist'!J136</f>
        <v>Not shortlisted</v>
      </c>
      <c r="I178" s="24">
        <f t="shared" si="20"/>
        <v>0</v>
      </c>
      <c r="J178" s="24">
        <f t="shared" si="21"/>
        <v>0</v>
      </c>
      <c r="K178" s="24">
        <f t="shared" si="22"/>
        <v>49</v>
      </c>
      <c r="L178" s="24" t="str">
        <f t="shared" si="23"/>
        <v>Not shortlisted</v>
      </c>
      <c r="M178" s="24">
        <f t="shared" si="24"/>
        <v>0</v>
      </c>
    </row>
    <row r="179" spans="1:13" x14ac:dyDescent="0.25">
      <c r="A179" s="24" t="str">
        <f>'Scored Shortlist'!A137</f>
        <v>CV084</v>
      </c>
      <c r="B179" s="24" t="str">
        <f>'Scored Shortlist'!C137</f>
        <v>JD5</v>
      </c>
      <c r="C179" s="24" t="str">
        <f>INDEX(Resumes!$C$2:$C$101,MATCH(A179,Resumes!$A$2:$A$101,0))</f>
        <v>Male</v>
      </c>
      <c r="D179" s="24" t="str">
        <f>INDEX(Resumes!$F$2:$F$101,MATCH(A179,Resumes!$A$2:$A$101,0))</f>
        <v>Tier-2 institute</v>
      </c>
      <c r="E179" s="24" t="str">
        <f>INDEX(Resumes!$H$2:$H$101,MATCH(A179,Resumes!$A$2:$A$101,0))</f>
        <v>None</v>
      </c>
      <c r="F179" s="24">
        <f>'Scored Shortlist'!I137</f>
        <v>49</v>
      </c>
      <c r="G179" s="24">
        <f>'Scored Shortlist'!G137</f>
        <v>12</v>
      </c>
      <c r="H179" s="24" t="str">
        <f>'Scored Shortlist'!J137</f>
        <v>Not shortlisted</v>
      </c>
      <c r="I179" s="24">
        <f t="shared" si="20"/>
        <v>0</v>
      </c>
      <c r="J179" s="24">
        <f t="shared" si="21"/>
        <v>0</v>
      </c>
      <c r="K179" s="24">
        <f t="shared" si="22"/>
        <v>49</v>
      </c>
      <c r="L179" s="24" t="str">
        <f t="shared" si="23"/>
        <v>Not shortlisted</v>
      </c>
      <c r="M179" s="24">
        <f t="shared" si="24"/>
        <v>0</v>
      </c>
    </row>
    <row r="180" spans="1:13" x14ac:dyDescent="0.25">
      <c r="A180" s="24" t="str">
        <f>'Scored Shortlist'!A138</f>
        <v>CV001</v>
      </c>
      <c r="B180" s="24" t="str">
        <f>'Scored Shortlist'!C138</f>
        <v>JD5</v>
      </c>
      <c r="C180" s="24" t="str">
        <f>INDEX(Resumes!$C$2:$C$101,MATCH(A180,Resumes!$A$2:$A$101,0))</f>
        <v>Male</v>
      </c>
      <c r="D180" s="24" t="str">
        <f>INDEX(Resumes!$F$2:$F$101,MATCH(A180,Resumes!$A$2:$A$101,0))</f>
        <v>Tier-2 institute</v>
      </c>
      <c r="E180" s="24" t="str">
        <f>INDEX(Resumes!$H$2:$H$101,MATCH(A180,Resumes!$A$2:$A$101,0))</f>
        <v>None</v>
      </c>
      <c r="F180" s="24">
        <f>'Scored Shortlist'!I138</f>
        <v>48</v>
      </c>
      <c r="G180" s="24">
        <f>'Scored Shortlist'!G138</f>
        <v>0</v>
      </c>
      <c r="H180" s="24" t="str">
        <f>'Scored Shortlist'!J138</f>
        <v>Not shortlisted</v>
      </c>
      <c r="I180" s="24">
        <f t="shared" si="20"/>
        <v>0</v>
      </c>
      <c r="J180" s="24">
        <f t="shared" si="21"/>
        <v>0</v>
      </c>
      <c r="K180" s="24">
        <f t="shared" si="22"/>
        <v>48</v>
      </c>
      <c r="L180" s="24" t="str">
        <f t="shared" si="23"/>
        <v>Not shortlisted</v>
      </c>
      <c r="M180" s="24">
        <f t="shared" si="24"/>
        <v>0</v>
      </c>
    </row>
    <row r="181" spans="1:13" x14ac:dyDescent="0.25">
      <c r="A181" s="24" t="str">
        <f>'Scored Shortlist'!A139</f>
        <v>CV036</v>
      </c>
      <c r="B181" s="24" t="str">
        <f>'Scored Shortlist'!C139</f>
        <v>JD5</v>
      </c>
      <c r="C181" s="24" t="str">
        <f>INDEX(Resumes!$C$2:$C$101,MATCH(A181,Resumes!$A$2:$A$101,0))</f>
        <v>Female</v>
      </c>
      <c r="D181" s="24" t="str">
        <f>INDEX(Resumes!$F$2:$F$101,MATCH(A181,Resumes!$A$2:$A$101,0))</f>
        <v>Tier-3 institute</v>
      </c>
      <c r="E181" s="24" t="str">
        <f>INDEX(Resumes!$H$2:$H$101,MATCH(A181,Resumes!$A$2:$A$101,0))</f>
        <v>6-month gap (exam preparation)</v>
      </c>
      <c r="F181" s="24">
        <f>'Scored Shortlist'!I139</f>
        <v>48</v>
      </c>
      <c r="G181" s="24">
        <f>'Scored Shortlist'!G139</f>
        <v>12</v>
      </c>
      <c r="H181" s="24" t="str">
        <f>'Scored Shortlist'!J139</f>
        <v>Not shortlisted</v>
      </c>
      <c r="I181" s="24">
        <f t="shared" si="20"/>
        <v>-5</v>
      </c>
      <c r="J181" s="24">
        <f t="shared" si="21"/>
        <v>-5</v>
      </c>
      <c r="K181" s="24">
        <f t="shared" si="22"/>
        <v>38</v>
      </c>
      <c r="L181" s="24" t="str">
        <f t="shared" si="23"/>
        <v>Not shortlisted</v>
      </c>
      <c r="M181" s="24">
        <f t="shared" si="24"/>
        <v>0</v>
      </c>
    </row>
    <row r="182" spans="1:13" x14ac:dyDescent="0.25">
      <c r="A182" s="24" t="str">
        <f>'Scored Shortlist'!A140</f>
        <v>CV015</v>
      </c>
      <c r="B182" s="24" t="str">
        <f>'Scored Shortlist'!C140</f>
        <v>JD5</v>
      </c>
      <c r="C182" s="24" t="str">
        <f>INDEX(Resumes!$C$2:$C$101,MATCH(A182,Resumes!$A$2:$A$101,0))</f>
        <v>Male</v>
      </c>
      <c r="D182" s="24" t="str">
        <f>INDEX(Resumes!$F$2:$F$101,MATCH(A182,Resumes!$A$2:$A$101,0))</f>
        <v>Tier-1 institute</v>
      </c>
      <c r="E182" s="24" t="str">
        <f>INDEX(Resumes!$H$2:$H$101,MATCH(A182,Resumes!$A$2:$A$101,0))</f>
        <v>None</v>
      </c>
      <c r="F182" s="24">
        <f>'Scored Shortlist'!I140</f>
        <v>47</v>
      </c>
      <c r="G182" s="24">
        <f>'Scored Shortlist'!G140</f>
        <v>12</v>
      </c>
      <c r="H182" s="24" t="str">
        <f>'Scored Shortlist'!J140</f>
        <v>Not shortlisted</v>
      </c>
      <c r="I182" s="24">
        <f t="shared" si="20"/>
        <v>5</v>
      </c>
      <c r="J182" s="24">
        <f t="shared" si="21"/>
        <v>0</v>
      </c>
      <c r="K182" s="24">
        <f t="shared" si="22"/>
        <v>52</v>
      </c>
      <c r="L182" s="24" t="str">
        <f t="shared" si="23"/>
        <v>Not shortlisted</v>
      </c>
      <c r="M182" s="24">
        <f t="shared" si="24"/>
        <v>0</v>
      </c>
    </row>
    <row r="183" spans="1:13" x14ac:dyDescent="0.25">
      <c r="A183" s="24" t="str">
        <f>'Scored Shortlist'!A141</f>
        <v>CV047</v>
      </c>
      <c r="B183" s="24" t="str">
        <f>'Scored Shortlist'!C141</f>
        <v>JD5</v>
      </c>
      <c r="C183" s="24" t="str">
        <f>INDEX(Resumes!$C$2:$C$101,MATCH(A183,Resumes!$A$2:$A$101,0))</f>
        <v>Female</v>
      </c>
      <c r="D183" s="24" t="str">
        <f>INDEX(Resumes!$F$2:$F$101,MATCH(A183,Resumes!$A$2:$A$101,0))</f>
        <v>Tier-3 institute</v>
      </c>
      <c r="E183" s="24" t="str">
        <f>INDEX(Resumes!$H$2:$H$101,MATCH(A183,Resumes!$A$2:$A$101,0))</f>
        <v>None</v>
      </c>
      <c r="F183" s="24">
        <f>'Scored Shortlist'!I141</f>
        <v>47</v>
      </c>
      <c r="G183" s="24">
        <f>'Scored Shortlist'!G141</f>
        <v>16</v>
      </c>
      <c r="H183" s="24" t="str">
        <f>'Scored Shortlist'!J141</f>
        <v>Not shortlisted</v>
      </c>
      <c r="I183" s="24">
        <f t="shared" si="20"/>
        <v>-5</v>
      </c>
      <c r="J183" s="24">
        <f t="shared" si="21"/>
        <v>0</v>
      </c>
      <c r="K183" s="24">
        <f t="shared" si="22"/>
        <v>42</v>
      </c>
      <c r="L183" s="24" t="str">
        <f t="shared" si="23"/>
        <v>Not shortlisted</v>
      </c>
      <c r="M183" s="24">
        <f t="shared" si="24"/>
        <v>0</v>
      </c>
    </row>
    <row r="184" spans="1:13" x14ac:dyDescent="0.25">
      <c r="A184" s="24" t="str">
        <f>'Scored Shortlist'!A142</f>
        <v>CV055</v>
      </c>
      <c r="B184" s="24" t="str">
        <f>'Scored Shortlist'!C142</f>
        <v>JD5</v>
      </c>
      <c r="C184" s="24" t="str">
        <f>INDEX(Resumes!$C$2:$C$101,MATCH(A184,Resumes!$A$2:$A$101,0))</f>
        <v>Male</v>
      </c>
      <c r="D184" s="24" t="str">
        <f>INDEX(Resumes!$F$2:$F$101,MATCH(A184,Resumes!$A$2:$A$101,0))</f>
        <v>Tier-3 institute</v>
      </c>
      <c r="E184" s="24" t="str">
        <f>INDEX(Resumes!$H$2:$H$101,MATCH(A184,Resumes!$A$2:$A$101,0))</f>
        <v>None</v>
      </c>
      <c r="F184" s="24">
        <f>'Scored Shortlist'!I142</f>
        <v>47</v>
      </c>
      <c r="G184" s="24">
        <f>'Scored Shortlist'!G142</f>
        <v>16</v>
      </c>
      <c r="H184" s="24" t="str">
        <f>'Scored Shortlist'!J142</f>
        <v>Not shortlisted</v>
      </c>
      <c r="I184" s="24">
        <f t="shared" si="20"/>
        <v>-5</v>
      </c>
      <c r="J184" s="24">
        <f t="shared" si="21"/>
        <v>0</v>
      </c>
      <c r="K184" s="24">
        <f t="shared" si="22"/>
        <v>42</v>
      </c>
      <c r="L184" s="24" t="str">
        <f t="shared" si="23"/>
        <v>Not shortlisted</v>
      </c>
      <c r="M184" s="24">
        <f t="shared" si="24"/>
        <v>0</v>
      </c>
    </row>
    <row r="185" spans="1:13" x14ac:dyDescent="0.25">
      <c r="A185" s="24" t="str">
        <f>'Scored Shortlist'!A143</f>
        <v>CV053</v>
      </c>
      <c r="B185" s="24" t="str">
        <f>'Scored Shortlist'!C143</f>
        <v>JD5</v>
      </c>
      <c r="C185" s="24" t="str">
        <f>INDEX(Resumes!$C$2:$C$101,MATCH(A185,Resumes!$A$2:$A$101,0))</f>
        <v>Male</v>
      </c>
      <c r="D185" s="24" t="str">
        <f>INDEX(Resumes!$F$2:$F$101,MATCH(A185,Resumes!$A$2:$A$101,0))</f>
        <v>Tier-1 institute</v>
      </c>
      <c r="E185" s="24" t="str">
        <f>INDEX(Resumes!$H$2:$H$101,MATCH(A185,Resumes!$A$2:$A$101,0))</f>
        <v>None</v>
      </c>
      <c r="F185" s="24">
        <f>'Scored Shortlist'!I143</f>
        <v>46</v>
      </c>
      <c r="G185" s="24">
        <f>'Scored Shortlist'!G143</f>
        <v>16</v>
      </c>
      <c r="H185" s="24" t="str">
        <f>'Scored Shortlist'!J143</f>
        <v>Not shortlisted</v>
      </c>
      <c r="I185" s="24">
        <f t="shared" si="20"/>
        <v>5</v>
      </c>
      <c r="J185" s="24">
        <f t="shared" si="21"/>
        <v>0</v>
      </c>
      <c r="K185" s="24">
        <f t="shared" si="22"/>
        <v>51</v>
      </c>
      <c r="L185" s="24" t="str">
        <f t="shared" si="23"/>
        <v>Not shortlisted</v>
      </c>
      <c r="M185" s="24">
        <f t="shared" si="24"/>
        <v>0</v>
      </c>
    </row>
    <row r="186" spans="1:13" x14ac:dyDescent="0.25">
      <c r="A186" s="24" t="str">
        <f>'Scored Shortlist'!A144</f>
        <v>CV005</v>
      </c>
      <c r="B186" s="24" t="str">
        <f>'Scored Shortlist'!C144</f>
        <v>JD5</v>
      </c>
      <c r="C186" s="24" t="str">
        <f>INDEX(Resumes!$C$2:$C$101,MATCH(A186,Resumes!$A$2:$A$101,0))</f>
        <v>Male</v>
      </c>
      <c r="D186" s="24" t="str">
        <f>INDEX(Resumes!$F$2:$F$101,MATCH(A186,Resumes!$A$2:$A$101,0))</f>
        <v>Tier-2 institute</v>
      </c>
      <c r="E186" s="24" t="str">
        <f>INDEX(Resumes!$H$2:$H$101,MATCH(A186,Resumes!$A$2:$A$101,0))</f>
        <v>None</v>
      </c>
      <c r="F186" s="24">
        <f>'Scored Shortlist'!I144</f>
        <v>45</v>
      </c>
      <c r="G186" s="24">
        <f>'Scored Shortlist'!G144</f>
        <v>8</v>
      </c>
      <c r="H186" s="24" t="str">
        <f>'Scored Shortlist'!J144</f>
        <v>Not shortlisted</v>
      </c>
      <c r="I186" s="24">
        <f t="shared" si="20"/>
        <v>0</v>
      </c>
      <c r="J186" s="24">
        <f t="shared" si="21"/>
        <v>0</v>
      </c>
      <c r="K186" s="24">
        <f t="shared" si="22"/>
        <v>45</v>
      </c>
      <c r="L186" s="24" t="str">
        <f t="shared" si="23"/>
        <v>Not shortlisted</v>
      </c>
      <c r="M186" s="24">
        <f t="shared" si="24"/>
        <v>0</v>
      </c>
    </row>
    <row r="187" spans="1:13" x14ac:dyDescent="0.25">
      <c r="A187" s="24" t="str">
        <f>'Scored Shortlist'!A145</f>
        <v>CV014</v>
      </c>
      <c r="B187" s="24" t="str">
        <f>'Scored Shortlist'!C145</f>
        <v>JD5</v>
      </c>
      <c r="C187" s="24" t="str">
        <f>INDEX(Resumes!$C$2:$C$101,MATCH(A187,Resumes!$A$2:$A$101,0))</f>
        <v>Female</v>
      </c>
      <c r="D187" s="24" t="str">
        <f>INDEX(Resumes!$F$2:$F$101,MATCH(A187,Resumes!$A$2:$A$101,0))</f>
        <v>Tier-3 institute</v>
      </c>
      <c r="E187" s="24" t="str">
        <f>INDEX(Resumes!$H$2:$H$101,MATCH(A187,Resumes!$A$2:$A$101,0))</f>
        <v>None</v>
      </c>
      <c r="F187" s="24">
        <f>'Scored Shortlist'!I145</f>
        <v>45</v>
      </c>
      <c r="G187" s="24">
        <f>'Scored Shortlist'!G145</f>
        <v>8</v>
      </c>
      <c r="H187" s="24" t="str">
        <f>'Scored Shortlist'!J145</f>
        <v>Not shortlisted</v>
      </c>
      <c r="I187" s="24">
        <f t="shared" si="20"/>
        <v>-5</v>
      </c>
      <c r="J187" s="24">
        <f t="shared" si="21"/>
        <v>0</v>
      </c>
      <c r="K187" s="24">
        <f t="shared" si="22"/>
        <v>40</v>
      </c>
      <c r="L187" s="24" t="str">
        <f t="shared" si="23"/>
        <v>Not shortlisted</v>
      </c>
      <c r="M187" s="24">
        <f t="shared" si="24"/>
        <v>0</v>
      </c>
    </row>
    <row r="188" spans="1:13" x14ac:dyDescent="0.25">
      <c r="A188" s="24" t="str">
        <f>'Scored Shortlist'!A146</f>
        <v>CV038</v>
      </c>
      <c r="B188" s="24" t="str">
        <f>'Scored Shortlist'!C146</f>
        <v>JD5</v>
      </c>
      <c r="C188" s="24" t="str">
        <f>INDEX(Resumes!$C$2:$C$101,MATCH(A188,Resumes!$A$2:$A$101,0))</f>
        <v>Male</v>
      </c>
      <c r="D188" s="24" t="str">
        <f>INDEX(Resumes!$F$2:$F$101,MATCH(A188,Resumes!$A$2:$A$101,0))</f>
        <v>Tier-2 institute</v>
      </c>
      <c r="E188" s="24" t="str">
        <f>INDEX(Resumes!$H$2:$H$101,MATCH(A188,Resumes!$A$2:$A$101,0))</f>
        <v>1-year career break (family)</v>
      </c>
      <c r="F188" s="24">
        <f>'Scored Shortlist'!I146</f>
        <v>45</v>
      </c>
      <c r="G188" s="24">
        <f>'Scored Shortlist'!G146</f>
        <v>8</v>
      </c>
      <c r="H188" s="24" t="str">
        <f>'Scored Shortlist'!J146</f>
        <v>Not shortlisted</v>
      </c>
      <c r="I188" s="24">
        <f t="shared" si="20"/>
        <v>0</v>
      </c>
      <c r="J188" s="24">
        <f t="shared" si="21"/>
        <v>-5</v>
      </c>
      <c r="K188" s="24">
        <f t="shared" si="22"/>
        <v>40</v>
      </c>
      <c r="L188" s="24" t="str">
        <f t="shared" si="23"/>
        <v>Not shortlisted</v>
      </c>
      <c r="M188" s="24">
        <f t="shared" si="24"/>
        <v>0</v>
      </c>
    </row>
    <row r="189" spans="1:13" x14ac:dyDescent="0.25">
      <c r="A189" s="24" t="str">
        <f>'Scored Shortlist'!A147</f>
        <v>CV058</v>
      </c>
      <c r="B189" s="24" t="str">
        <f>'Scored Shortlist'!C147</f>
        <v>JD5</v>
      </c>
      <c r="C189" s="24" t="str">
        <f>INDEX(Resumes!$C$2:$C$101,MATCH(A189,Resumes!$A$2:$A$101,0))</f>
        <v>Female</v>
      </c>
      <c r="D189" s="24" t="str">
        <f>INDEX(Resumes!$F$2:$F$101,MATCH(A189,Resumes!$A$2:$A$101,0))</f>
        <v>Tier-3 institute</v>
      </c>
      <c r="E189" s="24" t="str">
        <f>INDEX(Resumes!$H$2:$H$101,MATCH(A189,Resumes!$A$2:$A$101,0))</f>
        <v>None</v>
      </c>
      <c r="F189" s="24">
        <f>'Scored Shortlist'!I147</f>
        <v>45</v>
      </c>
      <c r="G189" s="24">
        <f>'Scored Shortlist'!G147</f>
        <v>12</v>
      </c>
      <c r="H189" s="24" t="str">
        <f>'Scored Shortlist'!J147</f>
        <v>Not shortlisted</v>
      </c>
      <c r="I189" s="24">
        <f t="shared" si="20"/>
        <v>-5</v>
      </c>
      <c r="J189" s="24">
        <f t="shared" si="21"/>
        <v>0</v>
      </c>
      <c r="K189" s="24">
        <f t="shared" si="22"/>
        <v>40</v>
      </c>
      <c r="L189" s="24" t="str">
        <f t="shared" si="23"/>
        <v>Not shortlisted</v>
      </c>
      <c r="M189" s="24">
        <f t="shared" si="24"/>
        <v>0</v>
      </c>
    </row>
    <row r="190" spans="1:13" x14ac:dyDescent="0.25">
      <c r="A190" s="24" t="str">
        <f>'Scored Shortlist'!A148</f>
        <v>CV032</v>
      </c>
      <c r="B190" s="24" t="str">
        <f>'Scored Shortlist'!C148</f>
        <v>JD5</v>
      </c>
      <c r="C190" s="24" t="str">
        <f>INDEX(Resumes!$C$2:$C$101,MATCH(A190,Resumes!$A$2:$A$101,0))</f>
        <v>Female</v>
      </c>
      <c r="D190" s="24" t="str">
        <f>INDEX(Resumes!$F$2:$F$101,MATCH(A190,Resumes!$A$2:$A$101,0))</f>
        <v>Tier-1 institute</v>
      </c>
      <c r="E190" s="24" t="str">
        <f>INDEX(Resumes!$H$2:$H$101,MATCH(A190,Resumes!$A$2:$A$101,0))</f>
        <v>None</v>
      </c>
      <c r="F190" s="24">
        <f>'Scored Shortlist'!I148</f>
        <v>44</v>
      </c>
      <c r="G190" s="24">
        <f>'Scored Shortlist'!G148</f>
        <v>8</v>
      </c>
      <c r="H190" s="24" t="str">
        <f>'Scored Shortlist'!J148</f>
        <v>Not shortlisted</v>
      </c>
      <c r="I190" s="24">
        <f t="shared" si="20"/>
        <v>5</v>
      </c>
      <c r="J190" s="24">
        <f t="shared" si="21"/>
        <v>0</v>
      </c>
      <c r="K190" s="24">
        <f t="shared" si="22"/>
        <v>49</v>
      </c>
      <c r="L190" s="24" t="str">
        <f t="shared" si="23"/>
        <v>Not shortlisted</v>
      </c>
      <c r="M190" s="24">
        <f t="shared" si="24"/>
        <v>0</v>
      </c>
    </row>
    <row r="191" spans="1:13" x14ac:dyDescent="0.25">
      <c r="A191" s="24" t="str">
        <f>'Scored Shortlist'!A149</f>
        <v>CV092</v>
      </c>
      <c r="B191" s="24" t="str">
        <f>'Scored Shortlist'!C149</f>
        <v>JD5</v>
      </c>
      <c r="C191" s="24" t="str">
        <f>INDEX(Resumes!$C$2:$C$101,MATCH(A191,Resumes!$A$2:$A$101,0))</f>
        <v>Female</v>
      </c>
      <c r="D191" s="24" t="str">
        <f>INDEX(Resumes!$F$2:$F$101,MATCH(A191,Resumes!$A$2:$A$101,0))</f>
        <v>Tier-1 institute</v>
      </c>
      <c r="E191" s="24" t="str">
        <f>INDEX(Resumes!$H$2:$H$101,MATCH(A191,Resumes!$A$2:$A$101,0))</f>
        <v>None</v>
      </c>
      <c r="F191" s="24">
        <f>'Scored Shortlist'!I149</f>
        <v>44</v>
      </c>
      <c r="G191" s="24">
        <f>'Scored Shortlist'!G149</f>
        <v>16</v>
      </c>
      <c r="H191" s="24" t="str">
        <f>'Scored Shortlist'!J149</f>
        <v>Not shortlisted</v>
      </c>
      <c r="I191" s="24">
        <f t="shared" si="20"/>
        <v>5</v>
      </c>
      <c r="J191" s="24">
        <f t="shared" si="21"/>
        <v>0</v>
      </c>
      <c r="K191" s="24">
        <f t="shared" si="22"/>
        <v>49</v>
      </c>
      <c r="L191" s="24" t="str">
        <f t="shared" si="23"/>
        <v>Not shortlisted</v>
      </c>
      <c r="M191" s="24">
        <f t="shared" si="24"/>
        <v>0</v>
      </c>
    </row>
    <row r="192" spans="1:13" x14ac:dyDescent="0.25">
      <c r="A192" s="24" t="str">
        <f>'Scored Shortlist'!A150</f>
        <v>CV025</v>
      </c>
      <c r="B192" s="24" t="str">
        <f>'Scored Shortlist'!C150</f>
        <v>JD5</v>
      </c>
      <c r="C192" s="24" t="str">
        <f>INDEX(Resumes!$C$2:$C$101,MATCH(A192,Resumes!$A$2:$A$101,0))</f>
        <v>Female</v>
      </c>
      <c r="D192" s="24" t="str">
        <f>INDEX(Resumes!$F$2:$F$101,MATCH(A192,Resumes!$A$2:$A$101,0))</f>
        <v>Tier-3 institute</v>
      </c>
      <c r="E192" s="24" t="str">
        <f>INDEX(Resumes!$H$2:$H$101,MATCH(A192,Resumes!$A$2:$A$101,0))</f>
        <v>6-month gap (exam preparation)</v>
      </c>
      <c r="F192" s="24">
        <f>'Scored Shortlist'!I150</f>
        <v>43</v>
      </c>
      <c r="G192" s="24">
        <f>'Scored Shortlist'!G150</f>
        <v>0</v>
      </c>
      <c r="H192" s="24" t="str">
        <f>'Scored Shortlist'!J150</f>
        <v>Not shortlisted</v>
      </c>
      <c r="I192" s="24">
        <f t="shared" si="20"/>
        <v>-5</v>
      </c>
      <c r="J192" s="24">
        <f t="shared" si="21"/>
        <v>-5</v>
      </c>
      <c r="K192" s="24">
        <f t="shared" si="22"/>
        <v>33</v>
      </c>
      <c r="L192" s="24" t="str">
        <f t="shared" si="23"/>
        <v>Not shortlisted</v>
      </c>
      <c r="M192" s="24">
        <f t="shared" si="24"/>
        <v>0</v>
      </c>
    </row>
    <row r="193" spans="1:13" x14ac:dyDescent="0.25">
      <c r="A193" s="24" t="str">
        <f>'Scored Shortlist'!A151</f>
        <v>CV029</v>
      </c>
      <c r="B193" s="24" t="str">
        <f>'Scored Shortlist'!C151</f>
        <v>JD5</v>
      </c>
      <c r="C193" s="24" t="str">
        <f>INDEX(Resumes!$C$2:$C$101,MATCH(A193,Resumes!$A$2:$A$101,0))</f>
        <v>Male</v>
      </c>
      <c r="D193" s="24" t="str">
        <f>INDEX(Resumes!$F$2:$F$101,MATCH(A193,Resumes!$A$2:$A$101,0))</f>
        <v>Tier-1 institute</v>
      </c>
      <c r="E193" s="24" t="str">
        <f>INDEX(Resumes!$H$2:$H$101,MATCH(A193,Resumes!$A$2:$A$101,0))</f>
        <v>None</v>
      </c>
      <c r="F193" s="24">
        <f>'Scored Shortlist'!I151</f>
        <v>43</v>
      </c>
      <c r="G193" s="24">
        <f>'Scored Shortlist'!G151</f>
        <v>0</v>
      </c>
      <c r="H193" s="24" t="str">
        <f>'Scored Shortlist'!J151</f>
        <v>Not shortlisted</v>
      </c>
      <c r="I193" s="24">
        <f t="shared" si="20"/>
        <v>5</v>
      </c>
      <c r="J193" s="24">
        <f t="shared" si="21"/>
        <v>0</v>
      </c>
      <c r="K193" s="24">
        <f t="shared" si="22"/>
        <v>48</v>
      </c>
      <c r="L193" s="24" t="str">
        <f t="shared" si="23"/>
        <v>Not shortlisted</v>
      </c>
      <c r="M193" s="24">
        <f t="shared" si="24"/>
        <v>0</v>
      </c>
    </row>
    <row r="194" spans="1:13" x14ac:dyDescent="0.25">
      <c r="A194" s="24" t="str">
        <f>'Scored Shortlist'!A152</f>
        <v>CV042</v>
      </c>
      <c r="B194" s="24" t="str">
        <f>'Scored Shortlist'!C152</f>
        <v>JD5</v>
      </c>
      <c r="C194" s="24" t="str">
        <f>INDEX(Resumes!$C$2:$C$101,MATCH(A194,Resumes!$A$2:$A$101,0))</f>
        <v>Female</v>
      </c>
      <c r="D194" s="24" t="str">
        <f>INDEX(Resumes!$F$2:$F$101,MATCH(A194,Resumes!$A$2:$A$101,0))</f>
        <v>Tier-2 institute</v>
      </c>
      <c r="E194" s="24" t="str">
        <f>INDEX(Resumes!$H$2:$H$101,MATCH(A194,Resumes!$A$2:$A$101,0))</f>
        <v>None</v>
      </c>
      <c r="F194" s="24">
        <f>'Scored Shortlist'!I152</f>
        <v>43</v>
      </c>
      <c r="G194" s="24">
        <f>'Scored Shortlist'!G152</f>
        <v>0</v>
      </c>
      <c r="H194" s="24" t="str">
        <f>'Scored Shortlist'!J152</f>
        <v>Not shortlisted</v>
      </c>
      <c r="I194" s="24">
        <f t="shared" si="20"/>
        <v>0</v>
      </c>
      <c r="J194" s="24">
        <f t="shared" si="21"/>
        <v>0</v>
      </c>
      <c r="K194" s="24">
        <f t="shared" si="22"/>
        <v>43</v>
      </c>
      <c r="L194" s="24" t="str">
        <f t="shared" si="23"/>
        <v>Not shortlisted</v>
      </c>
      <c r="M194" s="24">
        <f t="shared" si="24"/>
        <v>0</v>
      </c>
    </row>
    <row r="195" spans="1:13" x14ac:dyDescent="0.25">
      <c r="A195" s="24" t="str">
        <f>'Scored Shortlist'!A153</f>
        <v>CV051</v>
      </c>
      <c r="B195" s="24" t="str">
        <f>'Scored Shortlist'!C153</f>
        <v>JD5</v>
      </c>
      <c r="C195" s="24" t="str">
        <f>INDEX(Resumes!$C$2:$C$101,MATCH(A195,Resumes!$A$2:$A$101,0))</f>
        <v>Female</v>
      </c>
      <c r="D195" s="24" t="str">
        <f>INDEX(Resumes!$F$2:$F$101,MATCH(A195,Resumes!$A$2:$A$101,0))</f>
        <v>Tier-3 institute</v>
      </c>
      <c r="E195" s="24" t="str">
        <f>INDEX(Resumes!$H$2:$H$101,MATCH(A195,Resumes!$A$2:$A$101,0))</f>
        <v>1-year career break (family)</v>
      </c>
      <c r="F195" s="24">
        <f>'Scored Shortlist'!I153</f>
        <v>43</v>
      </c>
      <c r="G195" s="24">
        <f>'Scored Shortlist'!G153</f>
        <v>8</v>
      </c>
      <c r="H195" s="24" t="str">
        <f>'Scored Shortlist'!J153</f>
        <v>Not shortlisted</v>
      </c>
      <c r="I195" s="24">
        <f t="shared" si="20"/>
        <v>-5</v>
      </c>
      <c r="J195" s="24">
        <f t="shared" si="21"/>
        <v>-5</v>
      </c>
      <c r="K195" s="24">
        <f t="shared" si="22"/>
        <v>33</v>
      </c>
      <c r="L195" s="24" t="str">
        <f t="shared" si="23"/>
        <v>Not shortlisted</v>
      </c>
      <c r="M195" s="24">
        <f t="shared" si="24"/>
        <v>0</v>
      </c>
    </row>
    <row r="196" spans="1:13" x14ac:dyDescent="0.25">
      <c r="A196" s="24" t="str">
        <f>'Scored Shortlist'!A154</f>
        <v>CV076</v>
      </c>
      <c r="B196" s="24" t="str">
        <f>'Scored Shortlist'!C154</f>
        <v>JD5</v>
      </c>
      <c r="C196" s="24" t="str">
        <f>INDEX(Resumes!$C$2:$C$101,MATCH(A196,Resumes!$A$2:$A$101,0))</f>
        <v>Male</v>
      </c>
      <c r="D196" s="24" t="str">
        <f>INDEX(Resumes!$F$2:$F$101,MATCH(A196,Resumes!$A$2:$A$101,0))</f>
        <v>Tier-3 institute</v>
      </c>
      <c r="E196" s="24" t="str">
        <f>INDEX(Resumes!$H$2:$H$101,MATCH(A196,Resumes!$A$2:$A$101,0))</f>
        <v>1-year career break (family)</v>
      </c>
      <c r="F196" s="24">
        <f>'Scored Shortlist'!I154</f>
        <v>43</v>
      </c>
      <c r="G196" s="24">
        <f>'Scored Shortlist'!G154</f>
        <v>12</v>
      </c>
      <c r="H196" s="24" t="str">
        <f>'Scored Shortlist'!J154</f>
        <v>Not shortlisted</v>
      </c>
      <c r="I196" s="24">
        <f t="shared" si="20"/>
        <v>-5</v>
      </c>
      <c r="J196" s="24">
        <f t="shared" si="21"/>
        <v>-5</v>
      </c>
      <c r="K196" s="24">
        <f t="shared" si="22"/>
        <v>33</v>
      </c>
      <c r="L196" s="24" t="str">
        <f t="shared" si="23"/>
        <v>Not shortlisted</v>
      </c>
      <c r="M196" s="24">
        <f t="shared" si="24"/>
        <v>0</v>
      </c>
    </row>
    <row r="197" spans="1:13" x14ac:dyDescent="0.25">
      <c r="A197" s="24" t="str">
        <f>'Scored Shortlist'!A155</f>
        <v>CV079</v>
      </c>
      <c r="B197" s="24" t="str">
        <f>'Scored Shortlist'!C155</f>
        <v>JD5</v>
      </c>
      <c r="C197" s="24" t="str">
        <f>INDEX(Resumes!$C$2:$C$101,MATCH(A197,Resumes!$A$2:$A$101,0))</f>
        <v>Female</v>
      </c>
      <c r="D197" s="24" t="str">
        <f>INDEX(Resumes!$F$2:$F$101,MATCH(A197,Resumes!$A$2:$A$101,0))</f>
        <v>Tier-2 institute</v>
      </c>
      <c r="E197" s="24" t="str">
        <f>INDEX(Resumes!$H$2:$H$101,MATCH(A197,Resumes!$A$2:$A$101,0))</f>
        <v>1-year career break (family)</v>
      </c>
      <c r="F197" s="24">
        <f>'Scored Shortlist'!I155</f>
        <v>43</v>
      </c>
      <c r="G197" s="24">
        <f>'Scored Shortlist'!G155</f>
        <v>16</v>
      </c>
      <c r="H197" s="24" t="str">
        <f>'Scored Shortlist'!J155</f>
        <v>Not shortlisted</v>
      </c>
      <c r="I197" s="24">
        <f t="shared" si="20"/>
        <v>0</v>
      </c>
      <c r="J197" s="24">
        <f t="shared" si="21"/>
        <v>-5</v>
      </c>
      <c r="K197" s="24">
        <f t="shared" si="22"/>
        <v>38</v>
      </c>
      <c r="L197" s="24" t="str">
        <f t="shared" si="23"/>
        <v>Not shortlisted</v>
      </c>
      <c r="M197" s="24">
        <f t="shared" si="24"/>
        <v>0</v>
      </c>
    </row>
    <row r="198" spans="1:13" x14ac:dyDescent="0.25">
      <c r="A198" s="24" t="str">
        <f>'Scored Shortlist'!A156</f>
        <v>CV041</v>
      </c>
      <c r="B198" s="24" t="str">
        <f>'Scored Shortlist'!C156</f>
        <v>JD5</v>
      </c>
      <c r="C198" s="24" t="str">
        <f>INDEX(Resumes!$C$2:$C$101,MATCH(A198,Resumes!$A$2:$A$101,0))</f>
        <v>Female</v>
      </c>
      <c r="D198" s="24" t="str">
        <f>INDEX(Resumes!$F$2:$F$101,MATCH(A198,Resumes!$A$2:$A$101,0))</f>
        <v>Tier-3 institute</v>
      </c>
      <c r="E198" s="24" t="str">
        <f>INDEX(Resumes!$H$2:$H$101,MATCH(A198,Resumes!$A$2:$A$101,0))</f>
        <v>None</v>
      </c>
      <c r="F198" s="24">
        <f>'Scored Shortlist'!I156</f>
        <v>42</v>
      </c>
      <c r="G198" s="24">
        <f>'Scored Shortlist'!G156</f>
        <v>8</v>
      </c>
      <c r="H198" s="24" t="str">
        <f>'Scored Shortlist'!J156</f>
        <v>Not shortlisted</v>
      </c>
      <c r="I198" s="24">
        <f t="shared" si="20"/>
        <v>-5</v>
      </c>
      <c r="J198" s="24">
        <f t="shared" si="21"/>
        <v>0</v>
      </c>
      <c r="K198" s="24">
        <f t="shared" si="22"/>
        <v>37</v>
      </c>
      <c r="L198" s="24" t="str">
        <f t="shared" si="23"/>
        <v>Not shortlisted</v>
      </c>
      <c r="M198" s="24">
        <f t="shared" si="24"/>
        <v>0</v>
      </c>
    </row>
    <row r="199" spans="1:13" x14ac:dyDescent="0.25">
      <c r="A199" s="24" t="str">
        <f>'Scored Shortlist'!A157</f>
        <v>CV043</v>
      </c>
      <c r="B199" s="24" t="str">
        <f>'Scored Shortlist'!C157</f>
        <v>JD5</v>
      </c>
      <c r="C199" s="24" t="str">
        <f>INDEX(Resumes!$C$2:$C$101,MATCH(A199,Resumes!$A$2:$A$101,0))</f>
        <v>Female</v>
      </c>
      <c r="D199" s="24" t="str">
        <f>INDEX(Resumes!$F$2:$F$101,MATCH(A199,Resumes!$A$2:$A$101,0))</f>
        <v>Tier-3 institute</v>
      </c>
      <c r="E199" s="24" t="str">
        <f>INDEX(Resumes!$H$2:$H$101,MATCH(A199,Resumes!$A$2:$A$101,0))</f>
        <v>6-month gap (exam preparation)</v>
      </c>
      <c r="F199" s="24">
        <f>'Scored Shortlist'!I157</f>
        <v>42</v>
      </c>
      <c r="G199" s="24">
        <f>'Scored Shortlist'!G157</f>
        <v>16</v>
      </c>
      <c r="H199" s="24" t="str">
        <f>'Scored Shortlist'!J157</f>
        <v>Not shortlisted</v>
      </c>
      <c r="I199" s="24">
        <f t="shared" si="20"/>
        <v>-5</v>
      </c>
      <c r="J199" s="24">
        <f t="shared" si="21"/>
        <v>-5</v>
      </c>
      <c r="K199" s="24">
        <f t="shared" si="22"/>
        <v>32</v>
      </c>
      <c r="L199" s="24" t="str">
        <f t="shared" si="23"/>
        <v>Not shortlisted</v>
      </c>
      <c r="M199" s="24">
        <f t="shared" si="24"/>
        <v>0</v>
      </c>
    </row>
    <row r="200" spans="1:13" x14ac:dyDescent="0.25">
      <c r="A200" s="24" t="str">
        <f>'Scored Shortlist'!A158</f>
        <v>CV027</v>
      </c>
      <c r="B200" s="24" t="str">
        <f>'Scored Shortlist'!C158</f>
        <v>JD5</v>
      </c>
      <c r="C200" s="24" t="str">
        <f>INDEX(Resumes!$C$2:$C$101,MATCH(A200,Resumes!$A$2:$A$101,0))</f>
        <v>Male</v>
      </c>
      <c r="D200" s="24" t="str">
        <f>INDEX(Resumes!$F$2:$F$101,MATCH(A200,Resumes!$A$2:$A$101,0))</f>
        <v>Tier-2 institute</v>
      </c>
      <c r="E200" s="24" t="str">
        <f>INDEX(Resumes!$H$2:$H$101,MATCH(A200,Resumes!$A$2:$A$101,0))</f>
        <v>1-year career break (family)</v>
      </c>
      <c r="F200" s="24">
        <f>'Scored Shortlist'!I158</f>
        <v>41</v>
      </c>
      <c r="G200" s="24">
        <f>'Scored Shortlist'!G158</f>
        <v>8</v>
      </c>
      <c r="H200" s="24" t="str">
        <f>'Scored Shortlist'!J158</f>
        <v>Not shortlisted</v>
      </c>
      <c r="I200" s="24">
        <f t="shared" si="20"/>
        <v>0</v>
      </c>
      <c r="J200" s="24">
        <f t="shared" si="21"/>
        <v>-5</v>
      </c>
      <c r="K200" s="24">
        <f t="shared" si="22"/>
        <v>36</v>
      </c>
      <c r="L200" s="24" t="str">
        <f t="shared" si="23"/>
        <v>Not shortlisted</v>
      </c>
      <c r="M200" s="24">
        <f t="shared" si="24"/>
        <v>0</v>
      </c>
    </row>
    <row r="201" spans="1:13" x14ac:dyDescent="0.25">
      <c r="A201" s="24" t="str">
        <f>'Scored Shortlist'!A159</f>
        <v>CV068</v>
      </c>
      <c r="B201" s="24" t="str">
        <f>'Scored Shortlist'!C159</f>
        <v>JD5</v>
      </c>
      <c r="C201" s="24" t="str">
        <f>INDEX(Resumes!$C$2:$C$101,MATCH(A201,Resumes!$A$2:$A$101,0))</f>
        <v>Female</v>
      </c>
      <c r="D201" s="24" t="str">
        <f>INDEX(Resumes!$F$2:$F$101,MATCH(A201,Resumes!$A$2:$A$101,0))</f>
        <v>Tier-3 institute</v>
      </c>
      <c r="E201" s="24" t="str">
        <f>INDEX(Resumes!$H$2:$H$101,MATCH(A201,Resumes!$A$2:$A$101,0))</f>
        <v>None</v>
      </c>
      <c r="F201" s="24">
        <f>'Scored Shortlist'!I159</f>
        <v>41</v>
      </c>
      <c r="G201" s="24">
        <f>'Scored Shortlist'!G159</f>
        <v>8</v>
      </c>
      <c r="H201" s="24" t="str">
        <f>'Scored Shortlist'!J159</f>
        <v>Not shortlisted</v>
      </c>
      <c r="I201" s="24">
        <f t="shared" si="20"/>
        <v>-5</v>
      </c>
      <c r="J201" s="24">
        <f t="shared" si="21"/>
        <v>0</v>
      </c>
      <c r="K201" s="24">
        <f t="shared" si="22"/>
        <v>36</v>
      </c>
      <c r="L201" s="24" t="str">
        <f t="shared" si="23"/>
        <v>Not shortlisted</v>
      </c>
      <c r="M201" s="24">
        <f t="shared" si="24"/>
        <v>0</v>
      </c>
    </row>
    <row r="202" spans="1:13" x14ac:dyDescent="0.25">
      <c r="A202" s="24" t="str">
        <f>'Scored Shortlist'!A160</f>
        <v>CV070</v>
      </c>
      <c r="B202" s="24" t="str">
        <f>'Scored Shortlist'!C160</f>
        <v>JD5</v>
      </c>
      <c r="C202" s="24" t="str">
        <f>INDEX(Resumes!$C$2:$C$101,MATCH(A202,Resumes!$A$2:$A$101,0))</f>
        <v>Female</v>
      </c>
      <c r="D202" s="24" t="str">
        <f>INDEX(Resumes!$F$2:$F$101,MATCH(A202,Resumes!$A$2:$A$101,0))</f>
        <v>Tier-3 institute</v>
      </c>
      <c r="E202" s="24" t="str">
        <f>INDEX(Resumes!$H$2:$H$101,MATCH(A202,Resumes!$A$2:$A$101,0))</f>
        <v>None</v>
      </c>
      <c r="F202" s="24">
        <f>'Scored Shortlist'!I160</f>
        <v>41</v>
      </c>
      <c r="G202" s="24">
        <f>'Scored Shortlist'!G160</f>
        <v>8</v>
      </c>
      <c r="H202" s="24" t="str">
        <f>'Scored Shortlist'!J160</f>
        <v>Not shortlisted</v>
      </c>
      <c r="I202" s="24">
        <f t="shared" si="20"/>
        <v>-5</v>
      </c>
      <c r="J202" s="24">
        <f t="shared" si="21"/>
        <v>0</v>
      </c>
      <c r="K202" s="24">
        <f t="shared" si="22"/>
        <v>36</v>
      </c>
      <c r="L202" s="24" t="str">
        <f t="shared" si="23"/>
        <v>Not shortlisted</v>
      </c>
      <c r="M202" s="24">
        <f t="shared" si="24"/>
        <v>0</v>
      </c>
    </row>
    <row r="203" spans="1:13" x14ac:dyDescent="0.25">
      <c r="A203" s="24" t="str">
        <f>'Scored Shortlist'!A161</f>
        <v>CV074</v>
      </c>
      <c r="B203" s="24" t="str">
        <f>'Scored Shortlist'!C161</f>
        <v>JD5</v>
      </c>
      <c r="C203" s="24" t="str">
        <f>INDEX(Resumes!$C$2:$C$101,MATCH(A203,Resumes!$A$2:$A$101,0))</f>
        <v>Male</v>
      </c>
      <c r="D203" s="24" t="str">
        <f>INDEX(Resumes!$F$2:$F$101,MATCH(A203,Resumes!$A$2:$A$101,0))</f>
        <v>Tier-3 institute</v>
      </c>
      <c r="E203" s="24" t="str">
        <f>INDEX(Resumes!$H$2:$H$101,MATCH(A203,Resumes!$A$2:$A$101,0))</f>
        <v>None</v>
      </c>
      <c r="F203" s="24">
        <f>'Scored Shortlist'!I161</f>
        <v>41</v>
      </c>
      <c r="G203" s="24">
        <f>'Scored Shortlist'!G161</f>
        <v>20</v>
      </c>
      <c r="H203" s="24" t="str">
        <f>'Scored Shortlist'!J161</f>
        <v>Not shortlisted</v>
      </c>
      <c r="I203" s="24">
        <f t="shared" si="20"/>
        <v>-5</v>
      </c>
      <c r="J203" s="24">
        <f t="shared" si="21"/>
        <v>0</v>
      </c>
      <c r="K203" s="24">
        <f t="shared" si="22"/>
        <v>36</v>
      </c>
      <c r="L203" s="24" t="str">
        <f t="shared" si="23"/>
        <v>Not shortlisted</v>
      </c>
      <c r="M203" s="24">
        <f t="shared" si="24"/>
        <v>0</v>
      </c>
    </row>
    <row r="204" spans="1:13" x14ac:dyDescent="0.25">
      <c r="A204" s="24" t="str">
        <f>'Scored Shortlist'!A162</f>
        <v>CV044</v>
      </c>
      <c r="B204" s="24" t="str">
        <f>'Scored Shortlist'!C162</f>
        <v>JD5</v>
      </c>
      <c r="C204" s="24" t="str">
        <f>INDEX(Resumes!$C$2:$C$101,MATCH(A204,Resumes!$A$2:$A$101,0))</f>
        <v>Female</v>
      </c>
      <c r="D204" s="24" t="str">
        <f>INDEX(Resumes!$F$2:$F$101,MATCH(A204,Resumes!$A$2:$A$101,0))</f>
        <v>Tier-3 institute</v>
      </c>
      <c r="E204" s="24" t="str">
        <f>INDEX(Resumes!$H$2:$H$101,MATCH(A204,Resumes!$A$2:$A$101,0))</f>
        <v>None</v>
      </c>
      <c r="F204" s="24">
        <f>'Scored Shortlist'!I162</f>
        <v>40</v>
      </c>
      <c r="G204" s="24">
        <f>'Scored Shortlist'!G162</f>
        <v>8</v>
      </c>
      <c r="H204" s="24" t="str">
        <f>'Scored Shortlist'!J162</f>
        <v>Not shortlisted</v>
      </c>
      <c r="I204" s="24">
        <f t="shared" si="20"/>
        <v>-5</v>
      </c>
      <c r="J204" s="24">
        <f t="shared" si="21"/>
        <v>0</v>
      </c>
      <c r="K204" s="24">
        <f t="shared" si="22"/>
        <v>35</v>
      </c>
      <c r="L204" s="24" t="str">
        <f t="shared" si="23"/>
        <v>Not shortlisted</v>
      </c>
      <c r="M204" s="24">
        <f t="shared" si="24"/>
        <v>0</v>
      </c>
    </row>
    <row r="205" spans="1:13" x14ac:dyDescent="0.25">
      <c r="A205" s="24" t="str">
        <f>'Scored Shortlist'!A163</f>
        <v>CV069</v>
      </c>
      <c r="B205" s="24" t="str">
        <f>'Scored Shortlist'!C163</f>
        <v>JD5</v>
      </c>
      <c r="C205" s="24" t="str">
        <f>INDEX(Resumes!$C$2:$C$101,MATCH(A205,Resumes!$A$2:$A$101,0))</f>
        <v>Male</v>
      </c>
      <c r="D205" s="24" t="str">
        <f>INDEX(Resumes!$F$2:$F$101,MATCH(A205,Resumes!$A$2:$A$101,0))</f>
        <v>Tier-3 institute</v>
      </c>
      <c r="E205" s="24" t="str">
        <f>INDEX(Resumes!$H$2:$H$101,MATCH(A205,Resumes!$A$2:$A$101,0))</f>
        <v>6-month gap (exam preparation)</v>
      </c>
      <c r="F205" s="24">
        <f>'Scored Shortlist'!I163</f>
        <v>40</v>
      </c>
      <c r="G205" s="24">
        <f>'Scored Shortlist'!G163</f>
        <v>12</v>
      </c>
      <c r="H205" s="24" t="str">
        <f>'Scored Shortlist'!J163</f>
        <v>Not shortlisted</v>
      </c>
      <c r="I205" s="24">
        <f t="shared" si="20"/>
        <v>-5</v>
      </c>
      <c r="J205" s="24">
        <f t="shared" si="21"/>
        <v>-5</v>
      </c>
      <c r="K205" s="24">
        <f t="shared" si="22"/>
        <v>30</v>
      </c>
      <c r="L205" s="24" t="str">
        <f t="shared" si="23"/>
        <v>Not shortlisted</v>
      </c>
      <c r="M205" s="24">
        <f t="shared" si="24"/>
        <v>0</v>
      </c>
    </row>
    <row r="206" spans="1:13" x14ac:dyDescent="0.25">
      <c r="A206" s="24" t="str">
        <f>'Scored Shortlist'!A164</f>
        <v>CV094</v>
      </c>
      <c r="B206" s="24" t="str">
        <f>'Scored Shortlist'!C164</f>
        <v>JD5</v>
      </c>
      <c r="C206" s="24" t="str">
        <f>INDEX(Resumes!$C$2:$C$101,MATCH(A206,Resumes!$A$2:$A$101,0))</f>
        <v>Male</v>
      </c>
      <c r="D206" s="24" t="str">
        <f>INDEX(Resumes!$F$2:$F$101,MATCH(A206,Resumes!$A$2:$A$101,0))</f>
        <v>Tier-3 institute</v>
      </c>
      <c r="E206" s="24" t="str">
        <f>INDEX(Resumes!$H$2:$H$101,MATCH(A206,Resumes!$A$2:$A$101,0))</f>
        <v>None</v>
      </c>
      <c r="F206" s="24">
        <f>'Scored Shortlist'!I164</f>
        <v>40</v>
      </c>
      <c r="G206" s="24">
        <f>'Scored Shortlist'!G164</f>
        <v>4</v>
      </c>
      <c r="H206" s="24" t="str">
        <f>'Scored Shortlist'!J164</f>
        <v>Not shortlisted</v>
      </c>
      <c r="I206" s="24">
        <f t="shared" ref="I206:I237" si="25">IF(D206="Tier-1 institute",$B$16,IF(D206="Tier-3 institute",$B$17,0))</f>
        <v>-5</v>
      </c>
      <c r="J206" s="24">
        <f t="shared" ref="J206:J237" si="26">IF(E206="None",0,$B$18)</f>
        <v>0</v>
      </c>
      <c r="K206" s="24">
        <f t="shared" ref="K206:K237" si="27">F206+I206+J206</f>
        <v>35</v>
      </c>
      <c r="L206" s="24" t="str">
        <f t="shared" ref="L206:L237" si="28">IF(AND(K206&gt;=SL_CUT,G206&gt;=SL_SKILL),"Shortlist",IF(AND(K206&gt;=RV_CUT,G206&gt;=RV_SKILL),"Review","Not shortlisted"))</f>
        <v>Not shortlisted</v>
      </c>
      <c r="M206" s="24">
        <f t="shared" ref="M206:M237" si="29">IF(H206&lt;&gt;L206,1,0)</f>
        <v>0</v>
      </c>
    </row>
    <row r="207" spans="1:13" x14ac:dyDescent="0.25">
      <c r="A207" s="24" t="str">
        <f>'Scored Shortlist'!A165</f>
        <v>CV007</v>
      </c>
      <c r="B207" s="24" t="str">
        <f>'Scored Shortlist'!C165</f>
        <v>JD5</v>
      </c>
      <c r="C207" s="24" t="str">
        <f>INDEX(Resumes!$C$2:$C$101,MATCH(A207,Resumes!$A$2:$A$101,0))</f>
        <v>Female</v>
      </c>
      <c r="D207" s="24" t="str">
        <f>INDEX(Resumes!$F$2:$F$101,MATCH(A207,Resumes!$A$2:$A$101,0))</f>
        <v>Tier-2 institute</v>
      </c>
      <c r="E207" s="24" t="str">
        <f>INDEX(Resumes!$H$2:$H$101,MATCH(A207,Resumes!$A$2:$A$101,0))</f>
        <v>6-month gap (exam preparation)</v>
      </c>
      <c r="F207" s="24">
        <f>'Scored Shortlist'!I165</f>
        <v>39</v>
      </c>
      <c r="G207" s="24">
        <f>'Scored Shortlist'!G165</f>
        <v>4</v>
      </c>
      <c r="H207" s="24" t="str">
        <f>'Scored Shortlist'!J165</f>
        <v>Not shortlisted</v>
      </c>
      <c r="I207" s="24">
        <f t="shared" si="25"/>
        <v>0</v>
      </c>
      <c r="J207" s="24">
        <f t="shared" si="26"/>
        <v>-5</v>
      </c>
      <c r="K207" s="24">
        <f t="shared" si="27"/>
        <v>34</v>
      </c>
      <c r="L207" s="24" t="str">
        <f t="shared" si="28"/>
        <v>Not shortlisted</v>
      </c>
      <c r="M207" s="24">
        <f t="shared" si="29"/>
        <v>0</v>
      </c>
    </row>
    <row r="208" spans="1:13" x14ac:dyDescent="0.25">
      <c r="A208" s="24" t="str">
        <f>'Scored Shortlist'!A166</f>
        <v>CV010</v>
      </c>
      <c r="B208" s="24" t="str">
        <f>'Scored Shortlist'!C166</f>
        <v>JD5</v>
      </c>
      <c r="C208" s="24" t="str">
        <f>INDEX(Resumes!$C$2:$C$101,MATCH(A208,Resumes!$A$2:$A$101,0))</f>
        <v>Female</v>
      </c>
      <c r="D208" s="24" t="str">
        <f>INDEX(Resumes!$F$2:$F$101,MATCH(A208,Resumes!$A$2:$A$101,0))</f>
        <v>Tier-3 institute</v>
      </c>
      <c r="E208" s="24" t="str">
        <f>INDEX(Resumes!$H$2:$H$101,MATCH(A208,Resumes!$A$2:$A$101,0))</f>
        <v>None</v>
      </c>
      <c r="F208" s="24">
        <f>'Scored Shortlist'!I166</f>
        <v>39</v>
      </c>
      <c r="G208" s="24">
        <f>'Scored Shortlist'!G166</f>
        <v>16</v>
      </c>
      <c r="H208" s="24" t="str">
        <f>'Scored Shortlist'!J166</f>
        <v>Not shortlisted</v>
      </c>
      <c r="I208" s="24">
        <f t="shared" si="25"/>
        <v>-5</v>
      </c>
      <c r="J208" s="24">
        <f t="shared" si="26"/>
        <v>0</v>
      </c>
      <c r="K208" s="24">
        <f t="shared" si="27"/>
        <v>34</v>
      </c>
      <c r="L208" s="24" t="str">
        <f t="shared" si="28"/>
        <v>Not shortlisted</v>
      </c>
      <c r="M208" s="24">
        <f t="shared" si="29"/>
        <v>0</v>
      </c>
    </row>
    <row r="209" spans="1:13" x14ac:dyDescent="0.25">
      <c r="A209" s="24" t="str">
        <f>'Scored Shortlist'!A167</f>
        <v>CV017</v>
      </c>
      <c r="B209" s="24" t="str">
        <f>'Scored Shortlist'!C167</f>
        <v>JD5</v>
      </c>
      <c r="C209" s="24" t="str">
        <f>INDEX(Resumes!$C$2:$C$101,MATCH(A209,Resumes!$A$2:$A$101,0))</f>
        <v>Female</v>
      </c>
      <c r="D209" s="24" t="str">
        <f>INDEX(Resumes!$F$2:$F$101,MATCH(A209,Resumes!$A$2:$A$101,0))</f>
        <v>Tier-2 institute</v>
      </c>
      <c r="E209" s="24" t="str">
        <f>INDEX(Resumes!$H$2:$H$101,MATCH(A209,Resumes!$A$2:$A$101,0))</f>
        <v>1-year career break (family)</v>
      </c>
      <c r="F209" s="24">
        <f>'Scored Shortlist'!I167</f>
        <v>39</v>
      </c>
      <c r="G209" s="24">
        <f>'Scored Shortlist'!G167</f>
        <v>8</v>
      </c>
      <c r="H209" s="24" t="str">
        <f>'Scored Shortlist'!J167</f>
        <v>Not shortlisted</v>
      </c>
      <c r="I209" s="24">
        <f t="shared" si="25"/>
        <v>0</v>
      </c>
      <c r="J209" s="24">
        <f t="shared" si="26"/>
        <v>-5</v>
      </c>
      <c r="K209" s="24">
        <f t="shared" si="27"/>
        <v>34</v>
      </c>
      <c r="L209" s="24" t="str">
        <f t="shared" si="28"/>
        <v>Not shortlisted</v>
      </c>
      <c r="M209" s="24">
        <f t="shared" si="29"/>
        <v>0</v>
      </c>
    </row>
    <row r="210" spans="1:13" x14ac:dyDescent="0.25">
      <c r="A210" s="24" t="str">
        <f>'Scored Shortlist'!A168</f>
        <v>CV075</v>
      </c>
      <c r="B210" s="24" t="str">
        <f>'Scored Shortlist'!C168</f>
        <v>JD5</v>
      </c>
      <c r="C210" s="24" t="str">
        <f>INDEX(Resumes!$C$2:$C$101,MATCH(A210,Resumes!$A$2:$A$101,0))</f>
        <v>Male</v>
      </c>
      <c r="D210" s="24" t="str">
        <f>INDEX(Resumes!$F$2:$F$101,MATCH(A210,Resumes!$A$2:$A$101,0))</f>
        <v>Tier-3 institute</v>
      </c>
      <c r="E210" s="24" t="str">
        <f>INDEX(Resumes!$H$2:$H$101,MATCH(A210,Resumes!$A$2:$A$101,0))</f>
        <v>6-month gap (exam preparation)</v>
      </c>
      <c r="F210" s="24">
        <f>'Scored Shortlist'!I168</f>
        <v>38</v>
      </c>
      <c r="G210" s="24">
        <f>'Scored Shortlist'!G168</f>
        <v>8</v>
      </c>
      <c r="H210" s="24" t="str">
        <f>'Scored Shortlist'!J168</f>
        <v>Not shortlisted</v>
      </c>
      <c r="I210" s="24">
        <f t="shared" si="25"/>
        <v>-5</v>
      </c>
      <c r="J210" s="24">
        <f t="shared" si="26"/>
        <v>-5</v>
      </c>
      <c r="K210" s="24">
        <f t="shared" si="27"/>
        <v>28</v>
      </c>
      <c r="L210" s="24" t="str">
        <f t="shared" si="28"/>
        <v>Not shortlisted</v>
      </c>
      <c r="M210" s="24">
        <f t="shared" si="29"/>
        <v>0</v>
      </c>
    </row>
    <row r="211" spans="1:13" x14ac:dyDescent="0.25">
      <c r="A211" s="24" t="str">
        <f>'Scored Shortlist'!A169</f>
        <v>CV002</v>
      </c>
      <c r="B211" s="24" t="str">
        <f>'Scored Shortlist'!C169</f>
        <v>JD5</v>
      </c>
      <c r="C211" s="24" t="str">
        <f>INDEX(Resumes!$C$2:$C$101,MATCH(A211,Resumes!$A$2:$A$101,0))</f>
        <v>Female</v>
      </c>
      <c r="D211" s="24" t="str">
        <f>INDEX(Resumes!$F$2:$F$101,MATCH(A211,Resumes!$A$2:$A$101,0))</f>
        <v>Tier-2 institute</v>
      </c>
      <c r="E211" s="24" t="str">
        <f>INDEX(Resumes!$H$2:$H$101,MATCH(A211,Resumes!$A$2:$A$101,0))</f>
        <v>None</v>
      </c>
      <c r="F211" s="24">
        <f>'Scored Shortlist'!I169</f>
        <v>37</v>
      </c>
      <c r="G211" s="24">
        <f>'Scored Shortlist'!G169</f>
        <v>8</v>
      </c>
      <c r="H211" s="24" t="str">
        <f>'Scored Shortlist'!J169</f>
        <v>Not shortlisted</v>
      </c>
      <c r="I211" s="24">
        <f t="shared" si="25"/>
        <v>0</v>
      </c>
      <c r="J211" s="24">
        <f t="shared" si="26"/>
        <v>0</v>
      </c>
      <c r="K211" s="24">
        <f t="shared" si="27"/>
        <v>37</v>
      </c>
      <c r="L211" s="24" t="str">
        <f t="shared" si="28"/>
        <v>Not shortlisted</v>
      </c>
      <c r="M211" s="24">
        <f t="shared" si="29"/>
        <v>0</v>
      </c>
    </row>
    <row r="212" spans="1:13" x14ac:dyDescent="0.25">
      <c r="A212" s="24" t="str">
        <f>'Scored Shortlist'!A170</f>
        <v>CV097</v>
      </c>
      <c r="B212" s="24" t="str">
        <f>'Scored Shortlist'!C170</f>
        <v>JD5</v>
      </c>
      <c r="C212" s="24" t="str">
        <f>INDEX(Resumes!$C$2:$C$101,MATCH(A212,Resumes!$A$2:$A$101,0))</f>
        <v>Male</v>
      </c>
      <c r="D212" s="24" t="str">
        <f>INDEX(Resumes!$F$2:$F$101,MATCH(A212,Resumes!$A$2:$A$101,0))</f>
        <v>Tier-2 institute</v>
      </c>
      <c r="E212" s="24" t="str">
        <f>INDEX(Resumes!$H$2:$H$101,MATCH(A212,Resumes!$A$2:$A$101,0))</f>
        <v>None</v>
      </c>
      <c r="F212" s="24">
        <f>'Scored Shortlist'!I170</f>
        <v>37</v>
      </c>
      <c r="G212" s="24">
        <f>'Scored Shortlist'!G170</f>
        <v>8</v>
      </c>
      <c r="H212" s="24" t="str">
        <f>'Scored Shortlist'!J170</f>
        <v>Not shortlisted</v>
      </c>
      <c r="I212" s="24">
        <f t="shared" si="25"/>
        <v>0</v>
      </c>
      <c r="J212" s="24">
        <f t="shared" si="26"/>
        <v>0</v>
      </c>
      <c r="K212" s="24">
        <f t="shared" si="27"/>
        <v>37</v>
      </c>
      <c r="L212" s="24" t="str">
        <f t="shared" si="28"/>
        <v>Not shortlisted</v>
      </c>
      <c r="M212" s="24">
        <f t="shared" si="29"/>
        <v>0</v>
      </c>
    </row>
    <row r="213" spans="1:13" x14ac:dyDescent="0.25">
      <c r="A213" s="24" t="str">
        <f>'Scored Shortlist'!A171</f>
        <v>CV037</v>
      </c>
      <c r="B213" s="24" t="str">
        <f>'Scored Shortlist'!C171</f>
        <v>JD5</v>
      </c>
      <c r="C213" s="24" t="str">
        <f>INDEX(Resumes!$C$2:$C$101,MATCH(A213,Resumes!$A$2:$A$101,0))</f>
        <v>Female</v>
      </c>
      <c r="D213" s="24" t="str">
        <f>INDEX(Resumes!$F$2:$F$101,MATCH(A213,Resumes!$A$2:$A$101,0))</f>
        <v>Tier-2 institute</v>
      </c>
      <c r="E213" s="24" t="str">
        <f>INDEX(Resumes!$H$2:$H$101,MATCH(A213,Resumes!$A$2:$A$101,0))</f>
        <v>None</v>
      </c>
      <c r="F213" s="24">
        <f>'Scored Shortlist'!I171</f>
        <v>36</v>
      </c>
      <c r="G213" s="24">
        <f>'Scored Shortlist'!G171</f>
        <v>8</v>
      </c>
      <c r="H213" s="24" t="str">
        <f>'Scored Shortlist'!J171</f>
        <v>Not shortlisted</v>
      </c>
      <c r="I213" s="24">
        <f t="shared" si="25"/>
        <v>0</v>
      </c>
      <c r="J213" s="24">
        <f t="shared" si="26"/>
        <v>0</v>
      </c>
      <c r="K213" s="24">
        <f t="shared" si="27"/>
        <v>36</v>
      </c>
      <c r="L213" s="24" t="str">
        <f t="shared" si="28"/>
        <v>Not shortlisted</v>
      </c>
      <c r="M213" s="24">
        <f t="shared" si="29"/>
        <v>0</v>
      </c>
    </row>
    <row r="214" spans="1:13" x14ac:dyDescent="0.25">
      <c r="A214" s="24" t="str">
        <f>'Scored Shortlist'!A172</f>
        <v>CV050</v>
      </c>
      <c r="B214" s="24" t="str">
        <f>'Scored Shortlist'!C172</f>
        <v>JD5</v>
      </c>
      <c r="C214" s="24" t="str">
        <f>INDEX(Resumes!$C$2:$C$101,MATCH(A214,Resumes!$A$2:$A$101,0))</f>
        <v>Male</v>
      </c>
      <c r="D214" s="24" t="str">
        <f>INDEX(Resumes!$F$2:$F$101,MATCH(A214,Resumes!$A$2:$A$101,0))</f>
        <v>Tier-2 institute</v>
      </c>
      <c r="E214" s="24" t="str">
        <f>INDEX(Resumes!$H$2:$H$101,MATCH(A214,Resumes!$A$2:$A$101,0))</f>
        <v>6-month gap (exam preparation)</v>
      </c>
      <c r="F214" s="24">
        <f>'Scored Shortlist'!I172</f>
        <v>36</v>
      </c>
      <c r="G214" s="24">
        <f>'Scored Shortlist'!G172</f>
        <v>16</v>
      </c>
      <c r="H214" s="24" t="str">
        <f>'Scored Shortlist'!J172</f>
        <v>Not shortlisted</v>
      </c>
      <c r="I214" s="24">
        <f t="shared" si="25"/>
        <v>0</v>
      </c>
      <c r="J214" s="24">
        <f t="shared" si="26"/>
        <v>-5</v>
      </c>
      <c r="K214" s="24">
        <f t="shared" si="27"/>
        <v>31</v>
      </c>
      <c r="L214" s="24" t="str">
        <f t="shared" si="28"/>
        <v>Not shortlisted</v>
      </c>
      <c r="M214" s="24">
        <f t="shared" si="29"/>
        <v>0</v>
      </c>
    </row>
    <row r="215" spans="1:13" x14ac:dyDescent="0.25">
      <c r="A215" s="24" t="str">
        <f>'Scored Shortlist'!A173</f>
        <v>CV083</v>
      </c>
      <c r="B215" s="24" t="str">
        <f>'Scored Shortlist'!C173</f>
        <v>JD5</v>
      </c>
      <c r="C215" s="24" t="str">
        <f>INDEX(Resumes!$C$2:$C$101,MATCH(A215,Resumes!$A$2:$A$101,0))</f>
        <v>Male</v>
      </c>
      <c r="D215" s="24" t="str">
        <f>INDEX(Resumes!$F$2:$F$101,MATCH(A215,Resumes!$A$2:$A$101,0))</f>
        <v>Tier-2 institute</v>
      </c>
      <c r="E215" s="24" t="str">
        <f>INDEX(Resumes!$H$2:$H$101,MATCH(A215,Resumes!$A$2:$A$101,0))</f>
        <v>None</v>
      </c>
      <c r="F215" s="24">
        <f>'Scored Shortlist'!I173</f>
        <v>36</v>
      </c>
      <c r="G215" s="24">
        <f>'Scored Shortlist'!G173</f>
        <v>4</v>
      </c>
      <c r="H215" s="24" t="str">
        <f>'Scored Shortlist'!J173</f>
        <v>Not shortlisted</v>
      </c>
      <c r="I215" s="24">
        <f t="shared" si="25"/>
        <v>0</v>
      </c>
      <c r="J215" s="24">
        <f t="shared" si="26"/>
        <v>0</v>
      </c>
      <c r="K215" s="24">
        <f t="shared" si="27"/>
        <v>36</v>
      </c>
      <c r="L215" s="24" t="str">
        <f t="shared" si="28"/>
        <v>Not shortlisted</v>
      </c>
      <c r="M215" s="24">
        <f t="shared" si="29"/>
        <v>0</v>
      </c>
    </row>
    <row r="216" spans="1:13" x14ac:dyDescent="0.25">
      <c r="A216" s="24" t="str">
        <f>'Scored Shortlist'!A174</f>
        <v>CV012</v>
      </c>
      <c r="B216" s="24" t="str">
        <f>'Scored Shortlist'!C174</f>
        <v>JD5</v>
      </c>
      <c r="C216" s="24" t="str">
        <f>INDEX(Resumes!$C$2:$C$101,MATCH(A216,Resumes!$A$2:$A$101,0))</f>
        <v>Female</v>
      </c>
      <c r="D216" s="24" t="str">
        <f>INDEX(Resumes!$F$2:$F$101,MATCH(A216,Resumes!$A$2:$A$101,0))</f>
        <v>Tier-2 institute</v>
      </c>
      <c r="E216" s="24" t="str">
        <f>INDEX(Resumes!$H$2:$H$101,MATCH(A216,Resumes!$A$2:$A$101,0))</f>
        <v>None</v>
      </c>
      <c r="F216" s="24">
        <f>'Scored Shortlist'!I174</f>
        <v>35</v>
      </c>
      <c r="G216" s="24">
        <f>'Scored Shortlist'!G174</f>
        <v>4</v>
      </c>
      <c r="H216" s="24" t="str">
        <f>'Scored Shortlist'!J174</f>
        <v>Not shortlisted</v>
      </c>
      <c r="I216" s="24">
        <f t="shared" si="25"/>
        <v>0</v>
      </c>
      <c r="J216" s="24">
        <f t="shared" si="26"/>
        <v>0</v>
      </c>
      <c r="K216" s="24">
        <f t="shared" si="27"/>
        <v>35</v>
      </c>
      <c r="L216" s="24" t="str">
        <f t="shared" si="28"/>
        <v>Not shortlisted</v>
      </c>
      <c r="M216" s="24">
        <f t="shared" si="29"/>
        <v>0</v>
      </c>
    </row>
    <row r="217" spans="1:13" x14ac:dyDescent="0.25">
      <c r="A217" s="24" t="str">
        <f>'Scored Shortlist'!A175</f>
        <v>CV020</v>
      </c>
      <c r="B217" s="24" t="str">
        <f>'Scored Shortlist'!C175</f>
        <v>JD5</v>
      </c>
      <c r="C217" s="24" t="str">
        <f>INDEX(Resumes!$C$2:$C$101,MATCH(A217,Resumes!$A$2:$A$101,0))</f>
        <v>Male</v>
      </c>
      <c r="D217" s="24" t="str">
        <f>INDEX(Resumes!$F$2:$F$101,MATCH(A217,Resumes!$A$2:$A$101,0))</f>
        <v>Tier-1 institute</v>
      </c>
      <c r="E217" s="24" t="str">
        <f>INDEX(Resumes!$H$2:$H$101,MATCH(A217,Resumes!$A$2:$A$101,0))</f>
        <v>None</v>
      </c>
      <c r="F217" s="24">
        <f>'Scored Shortlist'!I175</f>
        <v>35</v>
      </c>
      <c r="G217" s="24">
        <f>'Scored Shortlist'!G175</f>
        <v>8</v>
      </c>
      <c r="H217" s="24" t="str">
        <f>'Scored Shortlist'!J175</f>
        <v>Not shortlisted</v>
      </c>
      <c r="I217" s="24">
        <f t="shared" si="25"/>
        <v>5</v>
      </c>
      <c r="J217" s="24">
        <f t="shared" si="26"/>
        <v>0</v>
      </c>
      <c r="K217" s="24">
        <f t="shared" si="27"/>
        <v>40</v>
      </c>
      <c r="L217" s="24" t="str">
        <f t="shared" si="28"/>
        <v>Not shortlisted</v>
      </c>
      <c r="M217" s="24">
        <f t="shared" si="29"/>
        <v>0</v>
      </c>
    </row>
    <row r="218" spans="1:13" x14ac:dyDescent="0.25">
      <c r="A218" s="24" t="str">
        <f>'Scored Shortlist'!A176</f>
        <v>CV026</v>
      </c>
      <c r="B218" s="24" t="str">
        <f>'Scored Shortlist'!C176</f>
        <v>JD5</v>
      </c>
      <c r="C218" s="24" t="str">
        <f>INDEX(Resumes!$C$2:$C$101,MATCH(A218,Resumes!$A$2:$A$101,0))</f>
        <v>Male</v>
      </c>
      <c r="D218" s="24" t="str">
        <f>INDEX(Resumes!$F$2:$F$101,MATCH(A218,Resumes!$A$2:$A$101,0))</f>
        <v>Tier-2 institute</v>
      </c>
      <c r="E218" s="24" t="str">
        <f>INDEX(Resumes!$H$2:$H$101,MATCH(A218,Resumes!$A$2:$A$101,0))</f>
        <v>None</v>
      </c>
      <c r="F218" s="24">
        <f>'Scored Shortlist'!I176</f>
        <v>35</v>
      </c>
      <c r="G218" s="24">
        <f>'Scored Shortlist'!G176</f>
        <v>8</v>
      </c>
      <c r="H218" s="24" t="str">
        <f>'Scored Shortlist'!J176</f>
        <v>Not shortlisted</v>
      </c>
      <c r="I218" s="24">
        <f t="shared" si="25"/>
        <v>0</v>
      </c>
      <c r="J218" s="24">
        <f t="shared" si="26"/>
        <v>0</v>
      </c>
      <c r="K218" s="24">
        <f t="shared" si="27"/>
        <v>35</v>
      </c>
      <c r="L218" s="24" t="str">
        <f t="shared" si="28"/>
        <v>Not shortlisted</v>
      </c>
      <c r="M218" s="24">
        <f t="shared" si="29"/>
        <v>0</v>
      </c>
    </row>
    <row r="219" spans="1:13" x14ac:dyDescent="0.25">
      <c r="A219" s="24" t="str">
        <f>'Scored Shortlist'!A177</f>
        <v>CV061</v>
      </c>
      <c r="B219" s="24" t="str">
        <f>'Scored Shortlist'!C177</f>
        <v>JD5</v>
      </c>
      <c r="C219" s="24" t="str">
        <f>INDEX(Resumes!$C$2:$C$101,MATCH(A219,Resumes!$A$2:$A$101,0))</f>
        <v>Male</v>
      </c>
      <c r="D219" s="24" t="str">
        <f>INDEX(Resumes!$F$2:$F$101,MATCH(A219,Resumes!$A$2:$A$101,0))</f>
        <v>Tier-2 institute</v>
      </c>
      <c r="E219" s="24" t="str">
        <f>INDEX(Resumes!$H$2:$H$101,MATCH(A219,Resumes!$A$2:$A$101,0))</f>
        <v>None</v>
      </c>
      <c r="F219" s="24">
        <f>'Scored Shortlist'!I177</f>
        <v>35</v>
      </c>
      <c r="G219" s="24">
        <f>'Scored Shortlist'!G177</f>
        <v>16</v>
      </c>
      <c r="H219" s="24" t="str">
        <f>'Scored Shortlist'!J177</f>
        <v>Not shortlisted</v>
      </c>
      <c r="I219" s="24">
        <f t="shared" si="25"/>
        <v>0</v>
      </c>
      <c r="J219" s="24">
        <f t="shared" si="26"/>
        <v>0</v>
      </c>
      <c r="K219" s="24">
        <f t="shared" si="27"/>
        <v>35</v>
      </c>
      <c r="L219" s="24" t="str">
        <f t="shared" si="28"/>
        <v>Not shortlisted</v>
      </c>
      <c r="M219" s="24">
        <f t="shared" si="29"/>
        <v>0</v>
      </c>
    </row>
    <row r="220" spans="1:13" x14ac:dyDescent="0.25">
      <c r="A220" s="24" t="str">
        <f>'Scored Shortlist'!A178</f>
        <v>CV062</v>
      </c>
      <c r="B220" s="24" t="str">
        <f>'Scored Shortlist'!C178</f>
        <v>JD5</v>
      </c>
      <c r="C220" s="24" t="str">
        <f>INDEX(Resumes!$C$2:$C$101,MATCH(A220,Resumes!$A$2:$A$101,0))</f>
        <v>Female</v>
      </c>
      <c r="D220" s="24" t="str">
        <f>INDEX(Resumes!$F$2:$F$101,MATCH(A220,Resumes!$A$2:$A$101,0))</f>
        <v>Tier-1 institute</v>
      </c>
      <c r="E220" s="24" t="str">
        <f>INDEX(Resumes!$H$2:$H$101,MATCH(A220,Resumes!$A$2:$A$101,0))</f>
        <v>None</v>
      </c>
      <c r="F220" s="24">
        <f>'Scored Shortlist'!I178</f>
        <v>35</v>
      </c>
      <c r="G220" s="24">
        <f>'Scored Shortlist'!G178</f>
        <v>0</v>
      </c>
      <c r="H220" s="24" t="str">
        <f>'Scored Shortlist'!J178</f>
        <v>Not shortlisted</v>
      </c>
      <c r="I220" s="24">
        <f t="shared" si="25"/>
        <v>5</v>
      </c>
      <c r="J220" s="24">
        <f t="shared" si="26"/>
        <v>0</v>
      </c>
      <c r="K220" s="24">
        <f t="shared" si="27"/>
        <v>40</v>
      </c>
      <c r="L220" s="24" t="str">
        <f t="shared" si="28"/>
        <v>Not shortlisted</v>
      </c>
      <c r="M220" s="24">
        <f t="shared" si="29"/>
        <v>0</v>
      </c>
    </row>
    <row r="221" spans="1:13" x14ac:dyDescent="0.25">
      <c r="A221" s="24" t="str">
        <f>'Scored Shortlist'!A179</f>
        <v>CV066</v>
      </c>
      <c r="B221" s="24" t="str">
        <f>'Scored Shortlist'!C179</f>
        <v>JD5</v>
      </c>
      <c r="C221" s="24" t="str">
        <f>INDEX(Resumes!$C$2:$C$101,MATCH(A221,Resumes!$A$2:$A$101,0))</f>
        <v>Female</v>
      </c>
      <c r="D221" s="24" t="str">
        <f>INDEX(Resumes!$F$2:$F$101,MATCH(A221,Resumes!$A$2:$A$101,0))</f>
        <v>Tier-2 institute</v>
      </c>
      <c r="E221" s="24" t="str">
        <f>INDEX(Resumes!$H$2:$H$101,MATCH(A221,Resumes!$A$2:$A$101,0))</f>
        <v>6-month gap (exam preparation)</v>
      </c>
      <c r="F221" s="24">
        <f>'Scored Shortlist'!I179</f>
        <v>35</v>
      </c>
      <c r="G221" s="24">
        <f>'Scored Shortlist'!G179</f>
        <v>12</v>
      </c>
      <c r="H221" s="24" t="str">
        <f>'Scored Shortlist'!J179</f>
        <v>Not shortlisted</v>
      </c>
      <c r="I221" s="24">
        <f t="shared" si="25"/>
        <v>0</v>
      </c>
      <c r="J221" s="24">
        <f t="shared" si="26"/>
        <v>-5</v>
      </c>
      <c r="K221" s="24">
        <f t="shared" si="27"/>
        <v>30</v>
      </c>
      <c r="L221" s="24" t="str">
        <f t="shared" si="28"/>
        <v>Not shortlisted</v>
      </c>
      <c r="M221" s="24">
        <f t="shared" si="29"/>
        <v>0</v>
      </c>
    </row>
    <row r="222" spans="1:13" x14ac:dyDescent="0.25">
      <c r="A222" s="24" t="str">
        <f>'Scored Shortlist'!A180</f>
        <v>CV085</v>
      </c>
      <c r="B222" s="24" t="str">
        <f>'Scored Shortlist'!C180</f>
        <v>JD5</v>
      </c>
      <c r="C222" s="24" t="str">
        <f>INDEX(Resumes!$C$2:$C$101,MATCH(A222,Resumes!$A$2:$A$101,0))</f>
        <v>Female</v>
      </c>
      <c r="D222" s="24" t="str">
        <f>INDEX(Resumes!$F$2:$F$101,MATCH(A222,Resumes!$A$2:$A$101,0))</f>
        <v>Tier-1 institute</v>
      </c>
      <c r="E222" s="24" t="str">
        <f>INDEX(Resumes!$H$2:$H$101,MATCH(A222,Resumes!$A$2:$A$101,0))</f>
        <v>1-year career break (family)</v>
      </c>
      <c r="F222" s="24">
        <f>'Scored Shortlist'!I180</f>
        <v>35</v>
      </c>
      <c r="G222" s="24">
        <f>'Scored Shortlist'!G180</f>
        <v>8</v>
      </c>
      <c r="H222" s="24" t="str">
        <f>'Scored Shortlist'!J180</f>
        <v>Not shortlisted</v>
      </c>
      <c r="I222" s="24">
        <f t="shared" si="25"/>
        <v>5</v>
      </c>
      <c r="J222" s="24">
        <f t="shared" si="26"/>
        <v>-5</v>
      </c>
      <c r="K222" s="24">
        <f t="shared" si="27"/>
        <v>35</v>
      </c>
      <c r="L222" s="24" t="str">
        <f t="shared" si="28"/>
        <v>Not shortlisted</v>
      </c>
      <c r="M222" s="24">
        <f t="shared" si="29"/>
        <v>0</v>
      </c>
    </row>
    <row r="223" spans="1:13" x14ac:dyDescent="0.25">
      <c r="A223" s="24" t="str">
        <f>'Scored Shortlist'!A181</f>
        <v>CV096</v>
      </c>
      <c r="B223" s="24" t="str">
        <f>'Scored Shortlist'!C181</f>
        <v>JD5</v>
      </c>
      <c r="C223" s="24" t="str">
        <f>INDEX(Resumes!$C$2:$C$101,MATCH(A223,Resumes!$A$2:$A$101,0))</f>
        <v>Male</v>
      </c>
      <c r="D223" s="24" t="str">
        <f>INDEX(Resumes!$F$2:$F$101,MATCH(A223,Resumes!$A$2:$A$101,0))</f>
        <v>Tier-2 institute</v>
      </c>
      <c r="E223" s="24" t="str">
        <f>INDEX(Resumes!$H$2:$H$101,MATCH(A223,Resumes!$A$2:$A$101,0))</f>
        <v>1-year career break (family)</v>
      </c>
      <c r="F223" s="24">
        <f>'Scored Shortlist'!I181</f>
        <v>34</v>
      </c>
      <c r="G223" s="24">
        <f>'Scored Shortlist'!G181</f>
        <v>4</v>
      </c>
      <c r="H223" s="24" t="str">
        <f>'Scored Shortlist'!J181</f>
        <v>Not shortlisted</v>
      </c>
      <c r="I223" s="24">
        <f t="shared" si="25"/>
        <v>0</v>
      </c>
      <c r="J223" s="24">
        <f t="shared" si="26"/>
        <v>-5</v>
      </c>
      <c r="K223" s="24">
        <f t="shared" si="27"/>
        <v>29</v>
      </c>
      <c r="L223" s="24" t="str">
        <f t="shared" si="28"/>
        <v>Not shortlisted</v>
      </c>
      <c r="M223" s="24">
        <f t="shared" si="29"/>
        <v>0</v>
      </c>
    </row>
    <row r="224" spans="1:13" x14ac:dyDescent="0.25">
      <c r="A224" s="24" t="str">
        <f>'Scored Shortlist'!A182</f>
        <v>CV077</v>
      </c>
      <c r="B224" s="24" t="str">
        <f>'Scored Shortlist'!C182</f>
        <v>JD5</v>
      </c>
      <c r="C224" s="24" t="str">
        <f>INDEX(Resumes!$C$2:$C$101,MATCH(A224,Resumes!$A$2:$A$101,0))</f>
        <v>Female</v>
      </c>
      <c r="D224" s="24" t="str">
        <f>INDEX(Resumes!$F$2:$F$101,MATCH(A224,Resumes!$A$2:$A$101,0))</f>
        <v>Tier-2 institute</v>
      </c>
      <c r="E224" s="24" t="str">
        <f>INDEX(Resumes!$H$2:$H$101,MATCH(A224,Resumes!$A$2:$A$101,0))</f>
        <v>None</v>
      </c>
      <c r="F224" s="24">
        <f>'Scored Shortlist'!I182</f>
        <v>33</v>
      </c>
      <c r="G224" s="24">
        <f>'Scored Shortlist'!G182</f>
        <v>8</v>
      </c>
      <c r="H224" s="24" t="str">
        <f>'Scored Shortlist'!J182</f>
        <v>Not shortlisted</v>
      </c>
      <c r="I224" s="24">
        <f t="shared" si="25"/>
        <v>0</v>
      </c>
      <c r="J224" s="24">
        <f t="shared" si="26"/>
        <v>0</v>
      </c>
      <c r="K224" s="24">
        <f t="shared" si="27"/>
        <v>33</v>
      </c>
      <c r="L224" s="24" t="str">
        <f t="shared" si="28"/>
        <v>Not shortlisted</v>
      </c>
      <c r="M224" s="24">
        <f t="shared" si="29"/>
        <v>0</v>
      </c>
    </row>
    <row r="225" spans="1:13" x14ac:dyDescent="0.25">
      <c r="A225" s="24" t="str">
        <f>'Scored Shortlist'!A183</f>
        <v>CV091</v>
      </c>
      <c r="B225" s="24" t="str">
        <f>'Scored Shortlist'!C183</f>
        <v>JD5</v>
      </c>
      <c r="C225" s="24" t="str">
        <f>INDEX(Resumes!$C$2:$C$101,MATCH(A225,Resumes!$A$2:$A$101,0))</f>
        <v>Female</v>
      </c>
      <c r="D225" s="24" t="str">
        <f>INDEX(Resumes!$F$2:$F$101,MATCH(A225,Resumes!$A$2:$A$101,0))</f>
        <v>Tier-2 institute</v>
      </c>
      <c r="E225" s="24" t="str">
        <f>INDEX(Resumes!$H$2:$H$101,MATCH(A225,Resumes!$A$2:$A$101,0))</f>
        <v>None</v>
      </c>
      <c r="F225" s="24">
        <f>'Scored Shortlist'!I183</f>
        <v>33</v>
      </c>
      <c r="G225" s="24">
        <f>'Scored Shortlist'!G183</f>
        <v>0</v>
      </c>
      <c r="H225" s="24" t="str">
        <f>'Scored Shortlist'!J183</f>
        <v>Not shortlisted</v>
      </c>
      <c r="I225" s="24">
        <f t="shared" si="25"/>
        <v>0</v>
      </c>
      <c r="J225" s="24">
        <f t="shared" si="26"/>
        <v>0</v>
      </c>
      <c r="K225" s="24">
        <f t="shared" si="27"/>
        <v>33</v>
      </c>
      <c r="L225" s="24" t="str">
        <f t="shared" si="28"/>
        <v>Not shortlisted</v>
      </c>
      <c r="M225" s="24">
        <f t="shared" si="29"/>
        <v>0</v>
      </c>
    </row>
    <row r="226" spans="1:13" x14ac:dyDescent="0.25">
      <c r="A226" s="24" t="str">
        <f>'Scored Shortlist'!A184</f>
        <v>CV013</v>
      </c>
      <c r="B226" s="24" t="str">
        <f>'Scored Shortlist'!C184</f>
        <v>JD5</v>
      </c>
      <c r="C226" s="24" t="str">
        <f>INDEX(Resumes!$C$2:$C$101,MATCH(A226,Resumes!$A$2:$A$101,0))</f>
        <v>Male</v>
      </c>
      <c r="D226" s="24" t="str">
        <f>INDEX(Resumes!$F$2:$F$101,MATCH(A226,Resumes!$A$2:$A$101,0))</f>
        <v>Tier-2 institute</v>
      </c>
      <c r="E226" s="24" t="str">
        <f>INDEX(Resumes!$H$2:$H$101,MATCH(A226,Resumes!$A$2:$A$101,0))</f>
        <v>None</v>
      </c>
      <c r="F226" s="24">
        <f>'Scored Shortlist'!I184</f>
        <v>32</v>
      </c>
      <c r="G226" s="24">
        <f>'Scored Shortlist'!G184</f>
        <v>8</v>
      </c>
      <c r="H226" s="24" t="str">
        <f>'Scored Shortlist'!J184</f>
        <v>Not shortlisted</v>
      </c>
      <c r="I226" s="24">
        <f t="shared" si="25"/>
        <v>0</v>
      </c>
      <c r="J226" s="24">
        <f t="shared" si="26"/>
        <v>0</v>
      </c>
      <c r="K226" s="24">
        <f t="shared" si="27"/>
        <v>32</v>
      </c>
      <c r="L226" s="24" t="str">
        <f t="shared" si="28"/>
        <v>Not shortlisted</v>
      </c>
      <c r="M226" s="24">
        <f t="shared" si="29"/>
        <v>0</v>
      </c>
    </row>
    <row r="227" spans="1:13" x14ac:dyDescent="0.25">
      <c r="A227" s="24" t="str">
        <f>'Scored Shortlist'!A185</f>
        <v>CV030</v>
      </c>
      <c r="B227" s="24" t="str">
        <f>'Scored Shortlist'!C185</f>
        <v>JD5</v>
      </c>
      <c r="C227" s="24" t="str">
        <f>INDEX(Resumes!$C$2:$C$101,MATCH(A227,Resumes!$A$2:$A$101,0))</f>
        <v>Female</v>
      </c>
      <c r="D227" s="24" t="str">
        <f>INDEX(Resumes!$F$2:$F$101,MATCH(A227,Resumes!$A$2:$A$101,0))</f>
        <v>Tier-3 institute</v>
      </c>
      <c r="E227" s="24" t="str">
        <f>INDEX(Resumes!$H$2:$H$101,MATCH(A227,Resumes!$A$2:$A$101,0))</f>
        <v>None</v>
      </c>
      <c r="F227" s="24">
        <f>'Scored Shortlist'!I185</f>
        <v>32</v>
      </c>
      <c r="G227" s="24">
        <f>'Scored Shortlist'!G185</f>
        <v>12</v>
      </c>
      <c r="H227" s="24" t="str">
        <f>'Scored Shortlist'!J185</f>
        <v>Not shortlisted</v>
      </c>
      <c r="I227" s="24">
        <f t="shared" si="25"/>
        <v>-5</v>
      </c>
      <c r="J227" s="24">
        <f t="shared" si="26"/>
        <v>0</v>
      </c>
      <c r="K227" s="24">
        <f t="shared" si="27"/>
        <v>27</v>
      </c>
      <c r="L227" s="24" t="str">
        <f t="shared" si="28"/>
        <v>Not shortlisted</v>
      </c>
      <c r="M227" s="24">
        <f t="shared" si="29"/>
        <v>0</v>
      </c>
    </row>
    <row r="228" spans="1:13" x14ac:dyDescent="0.25">
      <c r="A228" s="24" t="str">
        <f>'Scored Shortlist'!A186</f>
        <v>CV003</v>
      </c>
      <c r="B228" s="24" t="str">
        <f>'Scored Shortlist'!C186</f>
        <v>JD5</v>
      </c>
      <c r="C228" s="24" t="str">
        <f>INDEX(Resumes!$C$2:$C$101,MATCH(A228,Resumes!$A$2:$A$101,0))</f>
        <v>Female</v>
      </c>
      <c r="D228" s="24" t="str">
        <f>INDEX(Resumes!$F$2:$F$101,MATCH(A228,Resumes!$A$2:$A$101,0))</f>
        <v>Tier-3 institute</v>
      </c>
      <c r="E228" s="24" t="str">
        <f>INDEX(Resumes!$H$2:$H$101,MATCH(A228,Resumes!$A$2:$A$101,0))</f>
        <v>6-month gap (exam preparation)</v>
      </c>
      <c r="F228" s="24">
        <f>'Scored Shortlist'!I186</f>
        <v>31</v>
      </c>
      <c r="G228" s="24">
        <f>'Scored Shortlist'!G186</f>
        <v>8</v>
      </c>
      <c r="H228" s="24" t="str">
        <f>'Scored Shortlist'!J186</f>
        <v>Not shortlisted</v>
      </c>
      <c r="I228" s="24">
        <f t="shared" si="25"/>
        <v>-5</v>
      </c>
      <c r="J228" s="24">
        <f t="shared" si="26"/>
        <v>-5</v>
      </c>
      <c r="K228" s="24">
        <f t="shared" si="27"/>
        <v>21</v>
      </c>
      <c r="L228" s="24" t="str">
        <f t="shared" si="28"/>
        <v>Not shortlisted</v>
      </c>
      <c r="M228" s="24">
        <f t="shared" si="29"/>
        <v>0</v>
      </c>
    </row>
    <row r="229" spans="1:13" x14ac:dyDescent="0.25">
      <c r="A229" s="24" t="str">
        <f>'Scored Shortlist'!A187</f>
        <v>CV016</v>
      </c>
      <c r="B229" s="24" t="str">
        <f>'Scored Shortlist'!C187</f>
        <v>JD5</v>
      </c>
      <c r="C229" s="24" t="str">
        <f>INDEX(Resumes!$C$2:$C$101,MATCH(A229,Resumes!$A$2:$A$101,0))</f>
        <v>Male</v>
      </c>
      <c r="D229" s="24" t="str">
        <f>INDEX(Resumes!$F$2:$F$101,MATCH(A229,Resumes!$A$2:$A$101,0))</f>
        <v>Tier-2 institute</v>
      </c>
      <c r="E229" s="24" t="str">
        <f>INDEX(Resumes!$H$2:$H$101,MATCH(A229,Resumes!$A$2:$A$101,0))</f>
        <v>None</v>
      </c>
      <c r="F229" s="24">
        <f>'Scored Shortlist'!I187</f>
        <v>31</v>
      </c>
      <c r="G229" s="24">
        <f>'Scored Shortlist'!G187</f>
        <v>0</v>
      </c>
      <c r="H229" s="24" t="str">
        <f>'Scored Shortlist'!J187</f>
        <v>Not shortlisted</v>
      </c>
      <c r="I229" s="24">
        <f t="shared" si="25"/>
        <v>0</v>
      </c>
      <c r="J229" s="24">
        <f t="shared" si="26"/>
        <v>0</v>
      </c>
      <c r="K229" s="24">
        <f t="shared" si="27"/>
        <v>31</v>
      </c>
      <c r="L229" s="24" t="str">
        <f t="shared" si="28"/>
        <v>Not shortlisted</v>
      </c>
      <c r="M229" s="24">
        <f t="shared" si="29"/>
        <v>0</v>
      </c>
    </row>
    <row r="230" spans="1:13" x14ac:dyDescent="0.25">
      <c r="A230" s="24" t="str">
        <f>'Scored Shortlist'!A188</f>
        <v>CV082</v>
      </c>
      <c r="B230" s="24" t="str">
        <f>'Scored Shortlist'!C188</f>
        <v>JD5</v>
      </c>
      <c r="C230" s="24" t="str">
        <f>INDEX(Resumes!$C$2:$C$101,MATCH(A230,Resumes!$A$2:$A$101,0))</f>
        <v>Female</v>
      </c>
      <c r="D230" s="24" t="str">
        <f>INDEX(Resumes!$F$2:$F$101,MATCH(A230,Resumes!$A$2:$A$101,0))</f>
        <v>Tier-1 institute</v>
      </c>
      <c r="E230" s="24" t="str">
        <f>INDEX(Resumes!$H$2:$H$101,MATCH(A230,Resumes!$A$2:$A$101,0))</f>
        <v>None</v>
      </c>
      <c r="F230" s="24">
        <f>'Scored Shortlist'!I188</f>
        <v>31</v>
      </c>
      <c r="G230" s="24">
        <f>'Scored Shortlist'!G188</f>
        <v>8</v>
      </c>
      <c r="H230" s="24" t="str">
        <f>'Scored Shortlist'!J188</f>
        <v>Not shortlisted</v>
      </c>
      <c r="I230" s="24">
        <f t="shared" si="25"/>
        <v>5</v>
      </c>
      <c r="J230" s="24">
        <f t="shared" si="26"/>
        <v>0</v>
      </c>
      <c r="K230" s="24">
        <f t="shared" si="27"/>
        <v>36</v>
      </c>
      <c r="L230" s="24" t="str">
        <f t="shared" si="28"/>
        <v>Not shortlisted</v>
      </c>
      <c r="M230" s="24">
        <f t="shared" si="29"/>
        <v>0</v>
      </c>
    </row>
    <row r="231" spans="1:13" x14ac:dyDescent="0.25">
      <c r="A231" s="24" t="str">
        <f>'Scored Shortlist'!A189</f>
        <v>CV031</v>
      </c>
      <c r="B231" s="24" t="str">
        <f>'Scored Shortlist'!C189</f>
        <v>JD5</v>
      </c>
      <c r="C231" s="24" t="str">
        <f>INDEX(Resumes!$C$2:$C$101,MATCH(A231,Resumes!$A$2:$A$101,0))</f>
        <v>Male</v>
      </c>
      <c r="D231" s="24" t="str">
        <f>INDEX(Resumes!$F$2:$F$101,MATCH(A231,Resumes!$A$2:$A$101,0))</f>
        <v>Tier-2 institute</v>
      </c>
      <c r="E231" s="24" t="str">
        <f>INDEX(Resumes!$H$2:$H$101,MATCH(A231,Resumes!$A$2:$A$101,0))</f>
        <v>6-month gap (exam preparation)</v>
      </c>
      <c r="F231" s="24">
        <f>'Scored Shortlist'!I189</f>
        <v>30</v>
      </c>
      <c r="G231" s="24">
        <f>'Scored Shortlist'!G189</f>
        <v>8</v>
      </c>
      <c r="H231" s="24" t="str">
        <f>'Scored Shortlist'!J189</f>
        <v>Not shortlisted</v>
      </c>
      <c r="I231" s="24">
        <f t="shared" si="25"/>
        <v>0</v>
      </c>
      <c r="J231" s="24">
        <f t="shared" si="26"/>
        <v>-5</v>
      </c>
      <c r="K231" s="24">
        <f t="shared" si="27"/>
        <v>25</v>
      </c>
      <c r="L231" s="24" t="str">
        <f t="shared" si="28"/>
        <v>Not shortlisted</v>
      </c>
      <c r="M231" s="24">
        <f t="shared" si="29"/>
        <v>0</v>
      </c>
    </row>
    <row r="232" spans="1:13" x14ac:dyDescent="0.25">
      <c r="A232" s="24" t="str">
        <f>'Scored Shortlist'!A190</f>
        <v>CV006</v>
      </c>
      <c r="B232" s="24" t="str">
        <f>'Scored Shortlist'!C190</f>
        <v>JD5</v>
      </c>
      <c r="C232" s="24" t="str">
        <f>INDEX(Resumes!$C$2:$C$101,MATCH(A232,Resumes!$A$2:$A$101,0))</f>
        <v>Male</v>
      </c>
      <c r="D232" s="24" t="str">
        <f>INDEX(Resumes!$F$2:$F$101,MATCH(A232,Resumes!$A$2:$A$101,0))</f>
        <v>Tier-3 institute</v>
      </c>
      <c r="E232" s="24" t="str">
        <f>INDEX(Resumes!$H$2:$H$101,MATCH(A232,Resumes!$A$2:$A$101,0))</f>
        <v>None</v>
      </c>
      <c r="F232" s="24">
        <f>'Scored Shortlist'!I190</f>
        <v>29</v>
      </c>
      <c r="G232" s="24">
        <f>'Scored Shortlist'!G190</f>
        <v>12</v>
      </c>
      <c r="H232" s="24" t="str">
        <f>'Scored Shortlist'!J190</f>
        <v>Not shortlisted</v>
      </c>
      <c r="I232" s="24">
        <f t="shared" si="25"/>
        <v>-5</v>
      </c>
      <c r="J232" s="24">
        <f t="shared" si="26"/>
        <v>0</v>
      </c>
      <c r="K232" s="24">
        <f t="shared" si="27"/>
        <v>24</v>
      </c>
      <c r="L232" s="24" t="str">
        <f t="shared" si="28"/>
        <v>Not shortlisted</v>
      </c>
      <c r="M232" s="24">
        <f t="shared" si="29"/>
        <v>0</v>
      </c>
    </row>
    <row r="233" spans="1:13" x14ac:dyDescent="0.25">
      <c r="A233" s="24" t="str">
        <f>'Scored Shortlist'!A191</f>
        <v>CV073</v>
      </c>
      <c r="B233" s="24" t="str">
        <f>'Scored Shortlist'!C191</f>
        <v>JD5</v>
      </c>
      <c r="C233" s="24" t="str">
        <f>INDEX(Resumes!$C$2:$C$101,MATCH(A233,Resumes!$A$2:$A$101,0))</f>
        <v>Female</v>
      </c>
      <c r="D233" s="24" t="str">
        <f>INDEX(Resumes!$F$2:$F$101,MATCH(A233,Resumes!$A$2:$A$101,0))</f>
        <v>Tier-1 institute</v>
      </c>
      <c r="E233" s="24" t="str">
        <f>INDEX(Resumes!$H$2:$H$101,MATCH(A233,Resumes!$A$2:$A$101,0))</f>
        <v>None</v>
      </c>
      <c r="F233" s="24">
        <f>'Scored Shortlist'!I191</f>
        <v>29</v>
      </c>
      <c r="G233" s="24">
        <f>'Scored Shortlist'!G191</f>
        <v>0</v>
      </c>
      <c r="H233" s="24" t="str">
        <f>'Scored Shortlist'!J191</f>
        <v>Not shortlisted</v>
      </c>
      <c r="I233" s="24">
        <f t="shared" si="25"/>
        <v>5</v>
      </c>
      <c r="J233" s="24">
        <f t="shared" si="26"/>
        <v>0</v>
      </c>
      <c r="K233" s="24">
        <f t="shared" si="27"/>
        <v>34</v>
      </c>
      <c r="L233" s="24" t="str">
        <f t="shared" si="28"/>
        <v>Not shortlisted</v>
      </c>
      <c r="M233" s="24">
        <f t="shared" si="29"/>
        <v>0</v>
      </c>
    </row>
    <row r="234" spans="1:13" x14ac:dyDescent="0.25">
      <c r="A234" s="24" t="str">
        <f>'Scored Shortlist'!A192</f>
        <v>CV088</v>
      </c>
      <c r="B234" s="24" t="str">
        <f>'Scored Shortlist'!C192</f>
        <v>JD5</v>
      </c>
      <c r="C234" s="24" t="str">
        <f>INDEX(Resumes!$C$2:$C$101,MATCH(A234,Resumes!$A$2:$A$101,0))</f>
        <v>Male</v>
      </c>
      <c r="D234" s="24" t="str">
        <f>INDEX(Resumes!$F$2:$F$101,MATCH(A234,Resumes!$A$2:$A$101,0))</f>
        <v>Tier-2 institute</v>
      </c>
      <c r="E234" s="24" t="str">
        <f>INDEX(Resumes!$H$2:$H$101,MATCH(A234,Resumes!$A$2:$A$101,0))</f>
        <v>None</v>
      </c>
      <c r="F234" s="24">
        <f>'Scored Shortlist'!I192</f>
        <v>29</v>
      </c>
      <c r="G234" s="24">
        <f>'Scored Shortlist'!G192</f>
        <v>16</v>
      </c>
      <c r="H234" s="24" t="str">
        <f>'Scored Shortlist'!J192</f>
        <v>Not shortlisted</v>
      </c>
      <c r="I234" s="24">
        <f t="shared" si="25"/>
        <v>0</v>
      </c>
      <c r="J234" s="24">
        <f t="shared" si="26"/>
        <v>0</v>
      </c>
      <c r="K234" s="24">
        <f t="shared" si="27"/>
        <v>29</v>
      </c>
      <c r="L234" s="24" t="str">
        <f t="shared" si="28"/>
        <v>Not shortlisted</v>
      </c>
      <c r="M234" s="24">
        <f t="shared" si="29"/>
        <v>0</v>
      </c>
    </row>
    <row r="235" spans="1:13" x14ac:dyDescent="0.25">
      <c r="A235" s="24" t="str">
        <f>'Scored Shortlist'!A193</f>
        <v>CV018</v>
      </c>
      <c r="B235" s="24" t="str">
        <f>'Scored Shortlist'!C193</f>
        <v>JD5</v>
      </c>
      <c r="C235" s="24" t="str">
        <f>INDEX(Resumes!$C$2:$C$101,MATCH(A235,Resumes!$A$2:$A$101,0))</f>
        <v>Male</v>
      </c>
      <c r="D235" s="24" t="str">
        <f>INDEX(Resumes!$F$2:$F$101,MATCH(A235,Resumes!$A$2:$A$101,0))</f>
        <v>Tier-2 institute</v>
      </c>
      <c r="E235" s="24" t="str">
        <f>INDEX(Resumes!$H$2:$H$101,MATCH(A235,Resumes!$A$2:$A$101,0))</f>
        <v>None</v>
      </c>
      <c r="F235" s="24">
        <f>'Scored Shortlist'!I193</f>
        <v>28</v>
      </c>
      <c r="G235" s="24">
        <f>'Scored Shortlist'!G193</f>
        <v>4</v>
      </c>
      <c r="H235" s="24" t="str">
        <f>'Scored Shortlist'!J193</f>
        <v>Not shortlisted</v>
      </c>
      <c r="I235" s="24">
        <f t="shared" si="25"/>
        <v>0</v>
      </c>
      <c r="J235" s="24">
        <f t="shared" si="26"/>
        <v>0</v>
      </c>
      <c r="K235" s="24">
        <f t="shared" si="27"/>
        <v>28</v>
      </c>
      <c r="L235" s="24" t="str">
        <f t="shared" si="28"/>
        <v>Not shortlisted</v>
      </c>
      <c r="M235" s="24">
        <f t="shared" si="29"/>
        <v>0</v>
      </c>
    </row>
    <row r="236" spans="1:13" x14ac:dyDescent="0.25">
      <c r="A236" s="24" t="str">
        <f>'Scored Shortlist'!A194</f>
        <v>CV098</v>
      </c>
      <c r="B236" s="24" t="str">
        <f>'Scored Shortlist'!C194</f>
        <v>JD5</v>
      </c>
      <c r="C236" s="24" t="str">
        <f>INDEX(Resumes!$C$2:$C$101,MATCH(A236,Resumes!$A$2:$A$101,0))</f>
        <v>Female</v>
      </c>
      <c r="D236" s="24" t="str">
        <f>INDEX(Resumes!$F$2:$F$101,MATCH(A236,Resumes!$A$2:$A$101,0))</f>
        <v>Tier-3 institute</v>
      </c>
      <c r="E236" s="24" t="str">
        <f>INDEX(Resumes!$H$2:$H$101,MATCH(A236,Resumes!$A$2:$A$101,0))</f>
        <v>None</v>
      </c>
      <c r="F236" s="24">
        <f>'Scored Shortlist'!I194</f>
        <v>26</v>
      </c>
      <c r="G236" s="24">
        <f>'Scored Shortlist'!G194</f>
        <v>0</v>
      </c>
      <c r="H236" s="24" t="str">
        <f>'Scored Shortlist'!J194</f>
        <v>Not shortlisted</v>
      </c>
      <c r="I236" s="24">
        <f t="shared" si="25"/>
        <v>-5</v>
      </c>
      <c r="J236" s="24">
        <f t="shared" si="26"/>
        <v>0</v>
      </c>
      <c r="K236" s="24">
        <f t="shared" si="27"/>
        <v>21</v>
      </c>
      <c r="L236" s="24" t="str">
        <f t="shared" si="28"/>
        <v>Not shortlisted</v>
      </c>
      <c r="M236" s="24">
        <f t="shared" si="29"/>
        <v>0</v>
      </c>
    </row>
    <row r="237" spans="1:13" x14ac:dyDescent="0.25">
      <c r="A237" s="24" t="str">
        <f>'Scored Shortlist'!A195</f>
        <v>CV095</v>
      </c>
      <c r="B237" s="24" t="str">
        <f>'Scored Shortlist'!C195</f>
        <v>JD5</v>
      </c>
      <c r="C237" s="24" t="str">
        <f>INDEX(Resumes!$C$2:$C$101,MATCH(A237,Resumes!$A$2:$A$101,0))</f>
        <v>Male</v>
      </c>
      <c r="D237" s="24" t="str">
        <f>INDEX(Resumes!$F$2:$F$101,MATCH(A237,Resumes!$A$2:$A$101,0))</f>
        <v>Tier-2 institute</v>
      </c>
      <c r="E237" s="24" t="str">
        <f>INDEX(Resumes!$H$2:$H$101,MATCH(A237,Resumes!$A$2:$A$101,0))</f>
        <v>None</v>
      </c>
      <c r="F237" s="24">
        <f>'Scored Shortlist'!I195</f>
        <v>25</v>
      </c>
      <c r="G237" s="24">
        <f>'Scored Shortlist'!G195</f>
        <v>16</v>
      </c>
      <c r="H237" s="24" t="str">
        <f>'Scored Shortlist'!J195</f>
        <v>Not shortlisted</v>
      </c>
      <c r="I237" s="24">
        <f t="shared" si="25"/>
        <v>0</v>
      </c>
      <c r="J237" s="24">
        <f t="shared" si="26"/>
        <v>0</v>
      </c>
      <c r="K237" s="24">
        <f t="shared" si="27"/>
        <v>25</v>
      </c>
      <c r="L237" s="24" t="str">
        <f t="shared" si="28"/>
        <v>Not shortlisted</v>
      </c>
      <c r="M237" s="24">
        <f t="shared" si="29"/>
        <v>0</v>
      </c>
    </row>
    <row r="238" spans="1:13" x14ac:dyDescent="0.25">
      <c r="A238" s="24" t="str">
        <f>'Scored Shortlist'!A196</f>
        <v>CV100</v>
      </c>
      <c r="B238" s="24" t="str">
        <f>'Scored Shortlist'!C196</f>
        <v>JD5</v>
      </c>
      <c r="C238" s="24" t="str">
        <f>INDEX(Resumes!$C$2:$C$101,MATCH(A238,Resumes!$A$2:$A$101,0))</f>
        <v>Male</v>
      </c>
      <c r="D238" s="24" t="str">
        <f>INDEX(Resumes!$F$2:$F$101,MATCH(A238,Resumes!$A$2:$A$101,0))</f>
        <v>Tier-2 institute</v>
      </c>
      <c r="E238" s="24" t="str">
        <f>INDEX(Resumes!$H$2:$H$101,MATCH(A238,Resumes!$A$2:$A$101,0))</f>
        <v>None</v>
      </c>
      <c r="F238" s="24">
        <f>'Scored Shortlist'!I196</f>
        <v>25</v>
      </c>
      <c r="G238" s="24">
        <f>'Scored Shortlist'!G196</f>
        <v>12</v>
      </c>
      <c r="H238" s="24" t="str">
        <f>'Scored Shortlist'!J196</f>
        <v>Not shortlisted</v>
      </c>
      <c r="I238" s="24">
        <f t="shared" ref="I238:I245" si="30">IF(D238="Tier-1 institute",$B$16,IF(D238="Tier-3 institute",$B$17,0))</f>
        <v>0</v>
      </c>
      <c r="J238" s="24">
        <f t="shared" ref="J238:J245" si="31">IF(E238="None",0,$B$18)</f>
        <v>0</v>
      </c>
      <c r="K238" s="24">
        <f t="shared" ref="K238:K269" si="32">F238+I238+J238</f>
        <v>25</v>
      </c>
      <c r="L238" s="24" t="str">
        <f t="shared" ref="L238:L269" si="33">IF(AND(K238&gt;=SL_CUT,G238&gt;=SL_SKILL),"Shortlist",IF(AND(K238&gt;=RV_CUT,G238&gt;=RV_SKILL),"Review","Not shortlisted"))</f>
        <v>Not shortlisted</v>
      </c>
      <c r="M238" s="24">
        <f t="shared" ref="M238:M269" si="34">IF(H238&lt;&gt;L238,1,0)</f>
        <v>0</v>
      </c>
    </row>
    <row r="239" spans="1:13" x14ac:dyDescent="0.25">
      <c r="A239" s="24" t="str">
        <f>'Scored Shortlist'!A197</f>
        <v>CV048</v>
      </c>
      <c r="B239" s="24" t="str">
        <f>'Scored Shortlist'!C197</f>
        <v>JD5</v>
      </c>
      <c r="C239" s="24" t="str">
        <f>INDEX(Resumes!$C$2:$C$101,MATCH(A239,Resumes!$A$2:$A$101,0))</f>
        <v>Female</v>
      </c>
      <c r="D239" s="24" t="str">
        <f>INDEX(Resumes!$F$2:$F$101,MATCH(A239,Resumes!$A$2:$A$101,0))</f>
        <v>Tier-2 institute</v>
      </c>
      <c r="E239" s="24" t="str">
        <f>INDEX(Resumes!$H$2:$H$101,MATCH(A239,Resumes!$A$2:$A$101,0))</f>
        <v>6-month gap (exam preparation)</v>
      </c>
      <c r="F239" s="24">
        <f>'Scored Shortlist'!I197</f>
        <v>24</v>
      </c>
      <c r="G239" s="24">
        <f>'Scored Shortlist'!G197</f>
        <v>8</v>
      </c>
      <c r="H239" s="24" t="str">
        <f>'Scored Shortlist'!J197</f>
        <v>Not shortlisted</v>
      </c>
      <c r="I239" s="24">
        <f t="shared" si="30"/>
        <v>0</v>
      </c>
      <c r="J239" s="24">
        <f t="shared" si="31"/>
        <v>-5</v>
      </c>
      <c r="K239" s="24">
        <f t="shared" si="32"/>
        <v>19</v>
      </c>
      <c r="L239" s="24" t="str">
        <f t="shared" si="33"/>
        <v>Not shortlisted</v>
      </c>
      <c r="M239" s="24">
        <f t="shared" si="34"/>
        <v>0</v>
      </c>
    </row>
    <row r="240" spans="1:13" x14ac:dyDescent="0.25">
      <c r="A240" s="24" t="str">
        <f>'Scored Shortlist'!A198</f>
        <v>CV065</v>
      </c>
      <c r="B240" s="24" t="str">
        <f>'Scored Shortlist'!C198</f>
        <v>JD5</v>
      </c>
      <c r="C240" s="24" t="str">
        <f>INDEX(Resumes!$C$2:$C$101,MATCH(A240,Resumes!$A$2:$A$101,0))</f>
        <v>Female</v>
      </c>
      <c r="D240" s="24" t="str">
        <f>INDEX(Resumes!$F$2:$F$101,MATCH(A240,Resumes!$A$2:$A$101,0))</f>
        <v>Tier-2 institute</v>
      </c>
      <c r="E240" s="24" t="str">
        <f>INDEX(Resumes!$H$2:$H$101,MATCH(A240,Resumes!$A$2:$A$101,0))</f>
        <v>None</v>
      </c>
      <c r="F240" s="24">
        <f>'Scored Shortlist'!I198</f>
        <v>24</v>
      </c>
      <c r="G240" s="24">
        <f>'Scored Shortlist'!G198</f>
        <v>4</v>
      </c>
      <c r="H240" s="24" t="str">
        <f>'Scored Shortlist'!J198</f>
        <v>Not shortlisted</v>
      </c>
      <c r="I240" s="24">
        <f t="shared" si="30"/>
        <v>0</v>
      </c>
      <c r="J240" s="24">
        <f t="shared" si="31"/>
        <v>0</v>
      </c>
      <c r="K240" s="24">
        <f t="shared" si="32"/>
        <v>24</v>
      </c>
      <c r="L240" s="24" t="str">
        <f t="shared" si="33"/>
        <v>Not shortlisted</v>
      </c>
      <c r="M240" s="24">
        <f t="shared" si="34"/>
        <v>0</v>
      </c>
    </row>
    <row r="241" spans="1:13" x14ac:dyDescent="0.25">
      <c r="A241" s="24" t="str">
        <f>'Scored Shortlist'!A199</f>
        <v>CV023</v>
      </c>
      <c r="B241" s="24" t="str">
        <f>'Scored Shortlist'!C199</f>
        <v>JD5</v>
      </c>
      <c r="C241" s="24" t="str">
        <f>INDEX(Resumes!$C$2:$C$101,MATCH(A241,Resumes!$A$2:$A$101,0))</f>
        <v>Male</v>
      </c>
      <c r="D241" s="24" t="str">
        <f>INDEX(Resumes!$F$2:$F$101,MATCH(A241,Resumes!$A$2:$A$101,0))</f>
        <v>Tier-3 institute</v>
      </c>
      <c r="E241" s="24" t="str">
        <f>INDEX(Resumes!$H$2:$H$101,MATCH(A241,Resumes!$A$2:$A$101,0))</f>
        <v>None</v>
      </c>
      <c r="F241" s="24">
        <f>'Scored Shortlist'!I199</f>
        <v>23</v>
      </c>
      <c r="G241" s="24">
        <f>'Scored Shortlist'!G199</f>
        <v>8</v>
      </c>
      <c r="H241" s="24" t="str">
        <f>'Scored Shortlist'!J199</f>
        <v>Not shortlisted</v>
      </c>
      <c r="I241" s="24">
        <f t="shared" si="30"/>
        <v>-5</v>
      </c>
      <c r="J241" s="24">
        <f t="shared" si="31"/>
        <v>0</v>
      </c>
      <c r="K241" s="24">
        <f t="shared" si="32"/>
        <v>18</v>
      </c>
      <c r="L241" s="24" t="str">
        <f t="shared" si="33"/>
        <v>Not shortlisted</v>
      </c>
      <c r="M241" s="24">
        <f t="shared" si="34"/>
        <v>0</v>
      </c>
    </row>
    <row r="242" spans="1:13" x14ac:dyDescent="0.25">
      <c r="A242" s="24" t="str">
        <f>'Scored Shortlist'!A200</f>
        <v>CV045</v>
      </c>
      <c r="B242" s="24" t="str">
        <f>'Scored Shortlist'!C200</f>
        <v>JD5</v>
      </c>
      <c r="C242" s="24" t="str">
        <f>INDEX(Resumes!$C$2:$C$101,MATCH(A242,Resumes!$A$2:$A$101,0))</f>
        <v>Female</v>
      </c>
      <c r="D242" s="24" t="str">
        <f>INDEX(Resumes!$F$2:$F$101,MATCH(A242,Resumes!$A$2:$A$101,0))</f>
        <v>Tier-2 institute</v>
      </c>
      <c r="E242" s="24" t="str">
        <f>INDEX(Resumes!$H$2:$H$101,MATCH(A242,Resumes!$A$2:$A$101,0))</f>
        <v>6-month gap (exam preparation)</v>
      </c>
      <c r="F242" s="24">
        <f>'Scored Shortlist'!I200</f>
        <v>21</v>
      </c>
      <c r="G242" s="24">
        <f>'Scored Shortlist'!G200</f>
        <v>8</v>
      </c>
      <c r="H242" s="24" t="str">
        <f>'Scored Shortlist'!J200</f>
        <v>Not shortlisted</v>
      </c>
      <c r="I242" s="24">
        <f t="shared" si="30"/>
        <v>0</v>
      </c>
      <c r="J242" s="24">
        <f t="shared" si="31"/>
        <v>-5</v>
      </c>
      <c r="K242" s="24">
        <f t="shared" si="32"/>
        <v>16</v>
      </c>
      <c r="L242" s="24" t="str">
        <f t="shared" si="33"/>
        <v>Not shortlisted</v>
      </c>
      <c r="M242" s="24">
        <f t="shared" si="34"/>
        <v>0</v>
      </c>
    </row>
    <row r="243" spans="1:13" x14ac:dyDescent="0.25">
      <c r="A243" s="24" t="str">
        <f>'Scored Shortlist'!A201</f>
        <v>CV021</v>
      </c>
      <c r="B243" s="24" t="str">
        <f>'Scored Shortlist'!C201</f>
        <v>JD5</v>
      </c>
      <c r="C243" s="24" t="str">
        <f>INDEX(Resumes!$C$2:$C$101,MATCH(A243,Resumes!$A$2:$A$101,0))</f>
        <v>Female</v>
      </c>
      <c r="D243" s="24" t="str">
        <f>INDEX(Resumes!$F$2:$F$101,MATCH(A243,Resumes!$A$2:$A$101,0))</f>
        <v>Tier-1 institute</v>
      </c>
      <c r="E243" s="24" t="str">
        <f>INDEX(Resumes!$H$2:$H$101,MATCH(A243,Resumes!$A$2:$A$101,0))</f>
        <v>None</v>
      </c>
      <c r="F243" s="24">
        <f>'Scored Shortlist'!I201</f>
        <v>18</v>
      </c>
      <c r="G243" s="24">
        <f>'Scored Shortlist'!G201</f>
        <v>0</v>
      </c>
      <c r="H243" s="24" t="str">
        <f>'Scored Shortlist'!J201</f>
        <v>Not shortlisted</v>
      </c>
      <c r="I243" s="24">
        <f t="shared" si="30"/>
        <v>5</v>
      </c>
      <c r="J243" s="24">
        <f t="shared" si="31"/>
        <v>0</v>
      </c>
      <c r="K243" s="24">
        <f t="shared" si="32"/>
        <v>23</v>
      </c>
      <c r="L243" s="24" t="str">
        <f t="shared" si="33"/>
        <v>Not shortlisted</v>
      </c>
      <c r="M243" s="24">
        <f t="shared" si="34"/>
        <v>0</v>
      </c>
    </row>
    <row r="244" spans="1:13" x14ac:dyDescent="0.25">
      <c r="A244" s="24" t="str">
        <f>'Scored Shortlist'!A202</f>
        <v>CV071</v>
      </c>
      <c r="B244" s="24" t="str">
        <f>'Scored Shortlist'!C202</f>
        <v>JD5</v>
      </c>
      <c r="C244" s="24" t="str">
        <f>INDEX(Resumes!$C$2:$C$101,MATCH(A244,Resumes!$A$2:$A$101,0))</f>
        <v>Male</v>
      </c>
      <c r="D244" s="24" t="str">
        <f>INDEX(Resumes!$F$2:$F$101,MATCH(A244,Resumes!$A$2:$A$101,0))</f>
        <v>Tier-3 institute</v>
      </c>
      <c r="E244" s="24" t="str">
        <f>INDEX(Resumes!$H$2:$H$101,MATCH(A244,Resumes!$A$2:$A$101,0))</f>
        <v>None</v>
      </c>
      <c r="F244" s="24">
        <f>'Scored Shortlist'!I202</f>
        <v>17</v>
      </c>
      <c r="G244" s="24">
        <f>'Scored Shortlist'!G202</f>
        <v>0</v>
      </c>
      <c r="H244" s="24" t="str">
        <f>'Scored Shortlist'!J202</f>
        <v>Not shortlisted</v>
      </c>
      <c r="I244" s="24">
        <f t="shared" si="30"/>
        <v>-5</v>
      </c>
      <c r="J244" s="24">
        <f t="shared" si="31"/>
        <v>0</v>
      </c>
      <c r="K244" s="24">
        <f t="shared" si="32"/>
        <v>12</v>
      </c>
      <c r="L244" s="24" t="str">
        <f t="shared" si="33"/>
        <v>Not shortlisted</v>
      </c>
      <c r="M244" s="24">
        <f t="shared" si="34"/>
        <v>0</v>
      </c>
    </row>
    <row r="245" spans="1:13" x14ac:dyDescent="0.25">
      <c r="A245" s="24" t="str">
        <f>'Scored Shortlist'!A203</f>
        <v>CV078</v>
      </c>
      <c r="B245" s="24" t="str">
        <f>'Scored Shortlist'!C203</f>
        <v>JD5</v>
      </c>
      <c r="C245" s="24" t="str">
        <f>INDEX(Resumes!$C$2:$C$101,MATCH(A245,Resumes!$A$2:$A$101,0))</f>
        <v>Male</v>
      </c>
      <c r="D245" s="24" t="str">
        <f>INDEX(Resumes!$F$2:$F$101,MATCH(A245,Resumes!$A$2:$A$101,0))</f>
        <v>Tier-2 institute</v>
      </c>
      <c r="E245" s="24" t="str">
        <f>INDEX(Resumes!$H$2:$H$101,MATCH(A245,Resumes!$A$2:$A$101,0))</f>
        <v>1-year career break (family)</v>
      </c>
      <c r="F245" s="24">
        <f>'Scored Shortlist'!I203</f>
        <v>9</v>
      </c>
      <c r="G245" s="24">
        <f>'Scored Shortlist'!G203</f>
        <v>0</v>
      </c>
      <c r="H245" s="24" t="str">
        <f>'Scored Shortlist'!J203</f>
        <v>Not shortlisted</v>
      </c>
      <c r="I245" s="24">
        <f t="shared" si="30"/>
        <v>0</v>
      </c>
      <c r="J245" s="24">
        <f t="shared" si="31"/>
        <v>-5</v>
      </c>
      <c r="K245" s="24">
        <f t="shared" si="32"/>
        <v>4</v>
      </c>
      <c r="L245" s="24" t="str">
        <f t="shared" si="33"/>
        <v>Not shortlisted</v>
      </c>
      <c r="M245" s="24">
        <f t="shared" si="34"/>
        <v>0</v>
      </c>
    </row>
  </sheetData>
  <autoFilter ref="A45:M245" xr:uid="{00000000-0009-0000-0000-000008000000}"/>
  <mergeCells count="1"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2.9" x14ac:dyDescent="0.25"/>
  <cols>
    <col min="1" max="1" width="5" customWidth="1"/>
    <col min="2" max="2" width="38" customWidth="1"/>
    <col min="3" max="3" width="52" customWidth="1"/>
    <col min="4" max="4" width="44" customWidth="1"/>
    <col min="5" max="6" width="18" customWidth="1"/>
  </cols>
  <sheetData>
    <row r="1" spans="1:6" ht="17.75" x14ac:dyDescent="0.35">
      <c r="A1" s="4" t="s">
        <v>930</v>
      </c>
    </row>
    <row r="2" spans="1:6" ht="13.45" x14ac:dyDescent="0.3">
      <c r="A2" s="12" t="s">
        <v>931</v>
      </c>
    </row>
    <row r="4" spans="1:6" x14ac:dyDescent="0.25">
      <c r="A4" s="13" t="s">
        <v>705</v>
      </c>
      <c r="B4" s="13" t="s">
        <v>932</v>
      </c>
      <c r="C4" s="13" t="s">
        <v>933</v>
      </c>
      <c r="D4" s="13" t="s">
        <v>934</v>
      </c>
      <c r="E4" s="13" t="s">
        <v>935</v>
      </c>
      <c r="F4" s="13" t="s">
        <v>936</v>
      </c>
    </row>
    <row r="5" spans="1:6" ht="78.05" customHeight="1" x14ac:dyDescent="0.25">
      <c r="A5" s="15">
        <v>1</v>
      </c>
      <c r="B5" s="14" t="s">
        <v>937</v>
      </c>
      <c r="C5" s="19" t="s">
        <v>938</v>
      </c>
      <c r="D5" s="19" t="s">
        <v>939</v>
      </c>
      <c r="E5" s="19" t="s">
        <v>940</v>
      </c>
      <c r="F5" s="19" t="s">
        <v>941</v>
      </c>
    </row>
    <row r="6" spans="1:6" ht="55.5" customHeight="1" x14ac:dyDescent="0.25">
      <c r="A6" s="15">
        <v>2</v>
      </c>
      <c r="B6" s="14" t="s">
        <v>942</v>
      </c>
      <c r="C6" s="19" t="s">
        <v>943</v>
      </c>
      <c r="D6" s="19" t="s">
        <v>944</v>
      </c>
      <c r="E6" s="19" t="s">
        <v>945</v>
      </c>
      <c r="F6" s="19" t="s">
        <v>946</v>
      </c>
    </row>
    <row r="7" spans="1:6" ht="55.5" customHeight="1" x14ac:dyDescent="0.25">
      <c r="A7" s="15">
        <v>3</v>
      </c>
      <c r="B7" s="14" t="s">
        <v>947</v>
      </c>
      <c r="C7" s="19" t="s">
        <v>948</v>
      </c>
      <c r="D7" s="19" t="s">
        <v>949</v>
      </c>
      <c r="E7" s="19" t="s">
        <v>950</v>
      </c>
      <c r="F7" s="19" t="s">
        <v>951</v>
      </c>
    </row>
    <row r="8" spans="1:6" ht="55.5" customHeight="1" x14ac:dyDescent="0.25">
      <c r="A8" s="15">
        <v>4</v>
      </c>
      <c r="B8" s="14" t="s">
        <v>952</v>
      </c>
      <c r="C8" s="19" t="s">
        <v>953</v>
      </c>
      <c r="D8" s="19" t="s">
        <v>954</v>
      </c>
      <c r="E8" s="19" t="s">
        <v>945</v>
      </c>
      <c r="F8" s="19" t="s">
        <v>955</v>
      </c>
    </row>
    <row r="9" spans="1:6" ht="55.5" customHeight="1" x14ac:dyDescent="0.25">
      <c r="A9" s="15">
        <v>5</v>
      </c>
      <c r="B9" s="14" t="s">
        <v>956</v>
      </c>
      <c r="C9" s="19" t="s">
        <v>957</v>
      </c>
      <c r="D9" s="19" t="s">
        <v>958</v>
      </c>
      <c r="E9" s="19" t="s">
        <v>940</v>
      </c>
      <c r="F9" s="19" t="s">
        <v>955</v>
      </c>
    </row>
    <row r="10" spans="1:6" ht="64.5" customHeight="1" x14ac:dyDescent="0.25">
      <c r="A10" s="15">
        <v>6</v>
      </c>
      <c r="B10" s="14" t="s">
        <v>959</v>
      </c>
      <c r="C10" s="19" t="s">
        <v>960</v>
      </c>
      <c r="D10" s="19" t="s">
        <v>961</v>
      </c>
      <c r="E10" s="19" t="s">
        <v>962</v>
      </c>
      <c r="F10" s="19" t="s">
        <v>951</v>
      </c>
    </row>
    <row r="11" spans="1:6" ht="64.5" customHeight="1" x14ac:dyDescent="0.25">
      <c r="A11" s="15">
        <v>7</v>
      </c>
      <c r="B11" s="14" t="s">
        <v>963</v>
      </c>
      <c r="C11" s="19" t="s">
        <v>964</v>
      </c>
      <c r="D11" s="19" t="s">
        <v>965</v>
      </c>
      <c r="E11" s="19" t="s">
        <v>950</v>
      </c>
      <c r="F11" s="19" t="s">
        <v>966</v>
      </c>
    </row>
    <row r="12" spans="1:6" ht="64.5" customHeight="1" x14ac:dyDescent="0.25">
      <c r="A12" s="15">
        <v>8</v>
      </c>
      <c r="B12" s="14" t="s">
        <v>967</v>
      </c>
      <c r="C12" s="19" t="s">
        <v>968</v>
      </c>
      <c r="D12" s="19" t="s">
        <v>969</v>
      </c>
      <c r="E12" s="19" t="s">
        <v>970</v>
      </c>
      <c r="F12" s="19" t="s">
        <v>951</v>
      </c>
    </row>
    <row r="13" spans="1:6" ht="55.5" customHeight="1" x14ac:dyDescent="0.25">
      <c r="A13" s="15">
        <v>9</v>
      </c>
      <c r="B13" s="14" t="s">
        <v>971</v>
      </c>
      <c r="C13" s="19" t="s">
        <v>972</v>
      </c>
      <c r="D13" s="19" t="s">
        <v>973</v>
      </c>
      <c r="E13" s="19" t="s">
        <v>945</v>
      </c>
      <c r="F13" s="19" t="s">
        <v>974</v>
      </c>
    </row>
    <row r="14" spans="1:6" ht="55.5" customHeight="1" x14ac:dyDescent="0.25">
      <c r="A14" s="15">
        <v>10</v>
      </c>
      <c r="B14" s="14" t="s">
        <v>975</v>
      </c>
      <c r="C14" s="19" t="s">
        <v>976</v>
      </c>
      <c r="D14" s="19" t="s">
        <v>977</v>
      </c>
      <c r="E14" s="19" t="s">
        <v>950</v>
      </c>
      <c r="F14" s="19" t="s">
        <v>951</v>
      </c>
    </row>
    <row r="15" spans="1:6" ht="64.5" customHeight="1" x14ac:dyDescent="0.25">
      <c r="A15" s="15">
        <v>11</v>
      </c>
      <c r="B15" s="14" t="s">
        <v>978</v>
      </c>
      <c r="C15" s="19" t="s">
        <v>979</v>
      </c>
      <c r="D15" s="19" t="s">
        <v>980</v>
      </c>
      <c r="E15" s="19" t="s">
        <v>981</v>
      </c>
      <c r="F15" s="19" t="s">
        <v>982</v>
      </c>
    </row>
    <row r="16" spans="1:6" ht="55.5" customHeight="1" x14ac:dyDescent="0.25">
      <c r="A16" s="15">
        <v>12</v>
      </c>
      <c r="B16" s="14" t="s">
        <v>983</v>
      </c>
      <c r="C16" s="19" t="s">
        <v>984</v>
      </c>
      <c r="D16" s="19" t="s">
        <v>985</v>
      </c>
      <c r="E16" s="19" t="s">
        <v>940</v>
      </c>
      <c r="F16" s="19" t="s">
        <v>982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39997558519241921"/>
  </sheetPr>
  <dimension ref="A1:J21"/>
  <sheetViews>
    <sheetView tabSelected="1" topLeftCell="C1" zoomScaleNormal="100" workbookViewId="0">
      <pane ySplit="3" topLeftCell="A16" activePane="bottomLeft" state="frozen"/>
      <selection pane="bottomLeft" activeCell="J5" sqref="J5:J21"/>
    </sheetView>
  </sheetViews>
  <sheetFormatPr defaultColWidth="8.6328125" defaultRowHeight="12.9" x14ac:dyDescent="0.25"/>
  <cols>
    <col min="1" max="1" width="5" customWidth="1"/>
    <col min="2" max="2" width="12" customWidth="1"/>
    <col min="3" max="3" width="16" customWidth="1"/>
    <col min="4" max="5" width="18" customWidth="1"/>
    <col min="6" max="6" width="50" customWidth="1"/>
    <col min="7" max="8" width="36" customWidth="1"/>
    <col min="9" max="9" width="12" customWidth="1"/>
    <col min="10" max="10" width="22" customWidth="1"/>
  </cols>
  <sheetData>
    <row r="1" spans="1:10" ht="15.05" customHeight="1" x14ac:dyDescent="0.25">
      <c r="A1" s="11" t="s">
        <v>986</v>
      </c>
    </row>
    <row r="2" spans="1:10" ht="15.05" customHeight="1" x14ac:dyDescent="0.25">
      <c r="A2" s="33" t="s">
        <v>987</v>
      </c>
    </row>
    <row r="3" spans="1:10" ht="23.25" customHeight="1" x14ac:dyDescent="0.25">
      <c r="A3" s="9" t="s">
        <v>705</v>
      </c>
      <c r="B3" s="9" t="s">
        <v>988</v>
      </c>
      <c r="C3" s="9" t="s">
        <v>989</v>
      </c>
      <c r="D3" s="9" t="s">
        <v>990</v>
      </c>
      <c r="E3" s="9" t="s">
        <v>991</v>
      </c>
      <c r="F3" s="9" t="s">
        <v>992</v>
      </c>
      <c r="G3" s="9" t="s">
        <v>993</v>
      </c>
      <c r="H3" s="9" t="s">
        <v>994</v>
      </c>
      <c r="I3" s="9" t="s">
        <v>995</v>
      </c>
      <c r="J3" s="9" t="s">
        <v>996</v>
      </c>
    </row>
    <row r="4" spans="1:10" ht="34.549999999999997" customHeight="1" x14ac:dyDescent="0.25">
      <c r="A4" s="34">
        <v>1</v>
      </c>
      <c r="B4" s="35">
        <v>46034</v>
      </c>
      <c r="C4" s="34" t="s">
        <v>997</v>
      </c>
      <c r="D4" s="34" t="s">
        <v>998</v>
      </c>
      <c r="E4" s="34" t="s">
        <v>999</v>
      </c>
      <c r="F4" s="34" t="s">
        <v>1000</v>
      </c>
      <c r="G4" s="34" t="s">
        <v>1001</v>
      </c>
      <c r="H4" s="34" t="s">
        <v>1002</v>
      </c>
      <c r="I4" s="34" t="s">
        <v>628</v>
      </c>
      <c r="J4" s="34" t="s">
        <v>1003</v>
      </c>
    </row>
    <row r="5" spans="1:10" ht="78.05" customHeight="1" x14ac:dyDescent="0.25">
      <c r="A5" s="10">
        <v>2</v>
      </c>
      <c r="B5" s="36">
        <v>46299</v>
      </c>
      <c r="C5" s="37" t="s">
        <v>1004</v>
      </c>
      <c r="D5" s="37" t="s">
        <v>1005</v>
      </c>
      <c r="E5" s="37" t="s">
        <v>1006</v>
      </c>
      <c r="F5" s="37" t="s">
        <v>1007</v>
      </c>
      <c r="G5" s="37" t="s">
        <v>1008</v>
      </c>
      <c r="H5" s="37" t="s">
        <v>1009</v>
      </c>
      <c r="I5" s="37" t="s">
        <v>648</v>
      </c>
      <c r="J5" s="39" t="s">
        <v>1383</v>
      </c>
    </row>
    <row r="6" spans="1:10" ht="90.8" customHeight="1" x14ac:dyDescent="0.25">
      <c r="A6" s="10">
        <v>3</v>
      </c>
      <c r="B6" s="36">
        <v>46299</v>
      </c>
      <c r="C6" s="37" t="s">
        <v>1004</v>
      </c>
      <c r="D6" s="37" t="s">
        <v>1005</v>
      </c>
      <c r="E6" s="37" t="s">
        <v>1010</v>
      </c>
      <c r="F6" s="37" t="s">
        <v>1382</v>
      </c>
      <c r="G6" s="37" t="s">
        <v>1011</v>
      </c>
      <c r="H6" s="37" t="s">
        <v>1012</v>
      </c>
      <c r="I6" s="37" t="s">
        <v>648</v>
      </c>
      <c r="J6" s="40"/>
    </row>
    <row r="7" spans="1:10" ht="64.5" customHeight="1" x14ac:dyDescent="0.25">
      <c r="A7" s="10">
        <v>4</v>
      </c>
      <c r="B7" s="36">
        <v>46299</v>
      </c>
      <c r="C7" s="37" t="s">
        <v>1004</v>
      </c>
      <c r="D7" s="37" t="s">
        <v>1005</v>
      </c>
      <c r="E7" s="37" t="s">
        <v>1013</v>
      </c>
      <c r="F7" s="37" t="s">
        <v>1014</v>
      </c>
      <c r="G7" s="37" t="s">
        <v>1015</v>
      </c>
      <c r="H7" s="37" t="s">
        <v>1016</v>
      </c>
      <c r="I7" s="37" t="s">
        <v>648</v>
      </c>
      <c r="J7" s="40"/>
    </row>
    <row r="8" spans="1:10" ht="94.6" customHeight="1" x14ac:dyDescent="0.25">
      <c r="A8" s="10">
        <v>5</v>
      </c>
      <c r="B8" s="36">
        <v>46299</v>
      </c>
      <c r="C8" s="37" t="s">
        <v>1004</v>
      </c>
      <c r="D8" s="37" t="s">
        <v>1005</v>
      </c>
      <c r="E8" s="37" t="s">
        <v>999</v>
      </c>
      <c r="F8" s="37" t="s">
        <v>623</v>
      </c>
      <c r="G8" s="37" t="s">
        <v>1017</v>
      </c>
      <c r="H8" s="37" t="s">
        <v>1018</v>
      </c>
      <c r="I8" s="37" t="s">
        <v>628</v>
      </c>
      <c r="J8" s="40"/>
    </row>
    <row r="9" spans="1:10" ht="225" customHeight="1" x14ac:dyDescent="0.25">
      <c r="A9" s="10">
        <v>6</v>
      </c>
      <c r="B9" s="36">
        <v>46299</v>
      </c>
      <c r="C9" s="37" t="s">
        <v>1004</v>
      </c>
      <c r="D9" s="37" t="s">
        <v>1005</v>
      </c>
      <c r="E9" s="37" t="s">
        <v>1013</v>
      </c>
      <c r="F9" s="37" t="s">
        <v>630</v>
      </c>
      <c r="G9" s="37" t="s">
        <v>1019</v>
      </c>
      <c r="H9" s="37" t="s">
        <v>1020</v>
      </c>
      <c r="I9" s="37" t="s">
        <v>628</v>
      </c>
      <c r="J9" s="40"/>
    </row>
    <row r="10" spans="1:10" ht="64.5" customHeight="1" x14ac:dyDescent="0.25">
      <c r="A10" s="10">
        <v>7</v>
      </c>
      <c r="B10" s="36">
        <v>46299</v>
      </c>
      <c r="C10" s="37" t="s">
        <v>1004</v>
      </c>
      <c r="D10" s="37" t="s">
        <v>1005</v>
      </c>
      <c r="E10" s="37" t="s">
        <v>1013</v>
      </c>
      <c r="F10" s="37" t="s">
        <v>1021</v>
      </c>
      <c r="G10" s="37" t="s">
        <v>1022</v>
      </c>
      <c r="H10" s="37" t="s">
        <v>1023</v>
      </c>
      <c r="I10" s="37" t="s">
        <v>648</v>
      </c>
      <c r="J10" s="40"/>
    </row>
    <row r="11" spans="1:10" ht="78.05" customHeight="1" x14ac:dyDescent="0.25">
      <c r="A11" s="10">
        <v>8</v>
      </c>
      <c r="B11" s="36">
        <v>46299</v>
      </c>
      <c r="C11" s="37" t="s">
        <v>1004</v>
      </c>
      <c r="D11" s="37" t="s">
        <v>1005</v>
      </c>
      <c r="E11" s="37" t="s">
        <v>999</v>
      </c>
      <c r="F11" s="37" t="s">
        <v>1024</v>
      </c>
      <c r="G11" s="37" t="s">
        <v>1025</v>
      </c>
      <c r="H11" s="37" t="s">
        <v>1026</v>
      </c>
      <c r="I11" s="37" t="s">
        <v>648</v>
      </c>
      <c r="J11" s="40"/>
    </row>
    <row r="12" spans="1:10" ht="69.05" customHeight="1" x14ac:dyDescent="0.25">
      <c r="A12" s="10">
        <v>9</v>
      </c>
      <c r="B12" s="36">
        <v>46299</v>
      </c>
      <c r="C12" s="37" t="s">
        <v>1004</v>
      </c>
      <c r="D12" s="37" t="s">
        <v>1005</v>
      </c>
      <c r="E12" s="37" t="s">
        <v>999</v>
      </c>
      <c r="F12" s="37" t="s">
        <v>1027</v>
      </c>
      <c r="G12" s="37" t="s">
        <v>1028</v>
      </c>
      <c r="H12" s="37" t="s">
        <v>1029</v>
      </c>
      <c r="I12" s="37" t="s">
        <v>648</v>
      </c>
      <c r="J12" s="40"/>
    </row>
    <row r="13" spans="1:10" ht="81.8" customHeight="1" x14ac:dyDescent="0.25">
      <c r="A13" s="10">
        <v>10</v>
      </c>
      <c r="B13" s="36">
        <v>46299</v>
      </c>
      <c r="C13" s="37" t="s">
        <v>1004</v>
      </c>
      <c r="D13" s="37" t="s">
        <v>1005</v>
      </c>
      <c r="E13" s="37" t="s">
        <v>999</v>
      </c>
      <c r="F13" s="37" t="s">
        <v>1030</v>
      </c>
      <c r="G13" s="37" t="s">
        <v>1031</v>
      </c>
      <c r="H13" s="37" t="s">
        <v>1032</v>
      </c>
      <c r="I13" s="37" t="s">
        <v>628</v>
      </c>
      <c r="J13" s="40"/>
    </row>
    <row r="14" spans="1:10" ht="64.5" customHeight="1" x14ac:dyDescent="0.25">
      <c r="A14" s="10">
        <v>11</v>
      </c>
      <c r="B14" s="36">
        <v>46299</v>
      </c>
      <c r="C14" s="37" t="s">
        <v>1004</v>
      </c>
      <c r="D14" s="37" t="s">
        <v>1005</v>
      </c>
      <c r="E14" s="37" t="s">
        <v>999</v>
      </c>
      <c r="F14" s="37" t="s">
        <v>1033</v>
      </c>
      <c r="G14" s="37" t="s">
        <v>1034</v>
      </c>
      <c r="H14" s="37" t="s">
        <v>1035</v>
      </c>
      <c r="I14" s="37" t="s">
        <v>648</v>
      </c>
      <c r="J14" s="40"/>
    </row>
    <row r="15" spans="1:10" ht="81.8" customHeight="1" x14ac:dyDescent="0.25">
      <c r="A15" s="10">
        <v>12</v>
      </c>
      <c r="B15" s="36">
        <v>46299</v>
      </c>
      <c r="C15" s="37" t="s">
        <v>1004</v>
      </c>
      <c r="D15" s="37" t="s">
        <v>1005</v>
      </c>
      <c r="E15" s="37" t="s">
        <v>999</v>
      </c>
      <c r="F15" s="37" t="s">
        <v>1036</v>
      </c>
      <c r="G15" s="37" t="s">
        <v>1037</v>
      </c>
      <c r="H15" s="37" t="s">
        <v>1038</v>
      </c>
      <c r="I15" s="37" t="s">
        <v>648</v>
      </c>
      <c r="J15" s="40"/>
    </row>
    <row r="16" spans="1:10" ht="78.05" customHeight="1" x14ac:dyDescent="0.25">
      <c r="A16" s="10">
        <v>13</v>
      </c>
      <c r="B16" s="36">
        <v>46299</v>
      </c>
      <c r="C16" s="37" t="s">
        <v>1004</v>
      </c>
      <c r="D16" s="37" t="s">
        <v>1005</v>
      </c>
      <c r="E16" s="37" t="s">
        <v>1013</v>
      </c>
      <c r="F16" s="37" t="s">
        <v>1039</v>
      </c>
      <c r="G16" s="37" t="s">
        <v>1040</v>
      </c>
      <c r="H16" s="37" t="s">
        <v>1041</v>
      </c>
      <c r="I16" s="37" t="s">
        <v>648</v>
      </c>
      <c r="J16" s="40"/>
    </row>
    <row r="17" spans="1:10" ht="90.8" customHeight="1" x14ac:dyDescent="0.25">
      <c r="A17" s="10">
        <v>14</v>
      </c>
      <c r="B17" s="36">
        <v>46299</v>
      </c>
      <c r="C17" s="37" t="s">
        <v>1004</v>
      </c>
      <c r="D17" s="37" t="s">
        <v>1005</v>
      </c>
      <c r="E17" s="37" t="s">
        <v>1013</v>
      </c>
      <c r="F17" s="37" t="s">
        <v>1042</v>
      </c>
      <c r="G17" s="37" t="s">
        <v>1043</v>
      </c>
      <c r="H17" s="37" t="s">
        <v>1044</v>
      </c>
      <c r="I17" s="37" t="s">
        <v>648</v>
      </c>
      <c r="J17" s="40"/>
    </row>
    <row r="18" spans="1:10" ht="64.5" customHeight="1" x14ac:dyDescent="0.25">
      <c r="A18" s="10">
        <v>15</v>
      </c>
      <c r="B18" s="36">
        <v>46299</v>
      </c>
      <c r="C18" s="37" t="s">
        <v>1004</v>
      </c>
      <c r="D18" s="37" t="s">
        <v>1005</v>
      </c>
      <c r="E18" s="37" t="s">
        <v>999</v>
      </c>
      <c r="F18" s="37" t="s">
        <v>1045</v>
      </c>
      <c r="G18" s="37" t="s">
        <v>1046</v>
      </c>
      <c r="H18" s="37" t="s">
        <v>1047</v>
      </c>
      <c r="I18" s="37" t="s">
        <v>648</v>
      </c>
      <c r="J18" s="40"/>
    </row>
    <row r="19" spans="1:10" ht="78.05" customHeight="1" x14ac:dyDescent="0.25">
      <c r="A19" s="10">
        <v>16</v>
      </c>
      <c r="B19" s="36">
        <v>46299</v>
      </c>
      <c r="C19" s="37" t="s">
        <v>1004</v>
      </c>
      <c r="D19" s="37" t="s">
        <v>1005</v>
      </c>
      <c r="E19" s="37" t="s">
        <v>999</v>
      </c>
      <c r="F19" s="37" t="s">
        <v>669</v>
      </c>
      <c r="G19" s="37" t="s">
        <v>1048</v>
      </c>
      <c r="H19" s="37" t="s">
        <v>1049</v>
      </c>
      <c r="I19" s="37" t="s">
        <v>628</v>
      </c>
      <c r="J19" s="40"/>
    </row>
    <row r="20" spans="1:10" ht="51.75" customHeight="1" x14ac:dyDescent="0.25">
      <c r="A20" s="10">
        <v>17</v>
      </c>
      <c r="B20" s="36">
        <v>46299</v>
      </c>
      <c r="C20" s="37" t="s">
        <v>1004</v>
      </c>
      <c r="D20" s="37" t="s">
        <v>1005</v>
      </c>
      <c r="E20" s="37" t="s">
        <v>999</v>
      </c>
      <c r="F20" s="37" t="s">
        <v>1050</v>
      </c>
      <c r="G20" s="37" t="s">
        <v>1051</v>
      </c>
      <c r="H20" s="37" t="s">
        <v>1052</v>
      </c>
      <c r="I20" s="37" t="s">
        <v>648</v>
      </c>
      <c r="J20" s="40"/>
    </row>
    <row r="21" spans="1:10" ht="69.05" customHeight="1" x14ac:dyDescent="0.25">
      <c r="A21" s="10">
        <v>18</v>
      </c>
      <c r="B21" s="36">
        <v>46299</v>
      </c>
      <c r="C21" s="37" t="s">
        <v>1004</v>
      </c>
      <c r="D21" s="37" t="s">
        <v>1005</v>
      </c>
      <c r="E21" s="37" t="s">
        <v>1053</v>
      </c>
      <c r="F21" s="37" t="s">
        <v>1054</v>
      </c>
      <c r="G21" s="37" t="s">
        <v>1055</v>
      </c>
      <c r="H21" s="37" t="s">
        <v>1056</v>
      </c>
      <c r="I21" s="37" t="s">
        <v>648</v>
      </c>
      <c r="J21" s="41"/>
    </row>
  </sheetData>
  <mergeCells count="1">
    <mergeCell ref="J5:J21"/>
  </mergeCells>
  <dataValidations count="1">
    <dataValidation type="list" allowBlank="1" sqref="I5:I21" xr:uid="{00000000-0002-0000-0A00-000000000000}">
      <formula1>"Kept,Rejected,Partly kept"</formula1>
      <formula2>0</formula2>
    </dataValidation>
  </dataValidations>
  <hyperlinks>
    <hyperlink ref="J5" r:id="rId1" xr:uid="{51FB5C35-1E4E-42B9-9A0C-C90CFF4D73C4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2.9" x14ac:dyDescent="0.25"/>
  <cols>
    <col min="1" max="2" width="14" customWidth="1"/>
    <col min="3" max="3" width="10" customWidth="1"/>
    <col min="4" max="4" width="15" customWidth="1"/>
    <col min="5" max="6" width="18" customWidth="1"/>
    <col min="7" max="7" width="70" customWidth="1"/>
    <col min="8" max="8" width="14" customWidth="1"/>
    <col min="9" max="9" width="70" customWidth="1"/>
  </cols>
  <sheetData>
    <row r="1" spans="1:9" ht="15.05" customHeight="1" x14ac:dyDescent="0.25">
      <c r="A1" s="9" t="s">
        <v>75</v>
      </c>
      <c r="B1" s="9" t="s">
        <v>76</v>
      </c>
      <c r="C1" s="9" t="s">
        <v>919</v>
      </c>
      <c r="D1" s="9" t="s">
        <v>562</v>
      </c>
      <c r="E1" s="9" t="s">
        <v>1057</v>
      </c>
      <c r="F1" s="9" t="s">
        <v>920</v>
      </c>
      <c r="G1" s="9" t="s">
        <v>1058</v>
      </c>
      <c r="H1" s="9" t="s">
        <v>921</v>
      </c>
      <c r="I1" s="9" t="s">
        <v>677</v>
      </c>
    </row>
    <row r="2" spans="1:9" ht="54.8" customHeight="1" x14ac:dyDescent="0.25">
      <c r="A2" t="s">
        <v>330</v>
      </c>
      <c r="B2" t="s">
        <v>1059</v>
      </c>
      <c r="C2" t="s">
        <v>850</v>
      </c>
      <c r="D2" t="s">
        <v>568</v>
      </c>
      <c r="E2">
        <v>6.4</v>
      </c>
      <c r="F2" t="s">
        <v>908</v>
      </c>
      <c r="G2" s="38" t="s">
        <v>1060</v>
      </c>
      <c r="H2" t="s">
        <v>1061</v>
      </c>
      <c r="I2" s="38" t="s">
        <v>1062</v>
      </c>
    </row>
    <row r="3" spans="1:9" ht="54.8" customHeight="1" x14ac:dyDescent="0.25">
      <c r="A3" t="s">
        <v>322</v>
      </c>
      <c r="B3" t="s">
        <v>1063</v>
      </c>
      <c r="C3" t="s">
        <v>856</v>
      </c>
      <c r="D3" t="s">
        <v>574</v>
      </c>
      <c r="E3">
        <v>8</v>
      </c>
      <c r="F3" t="s">
        <v>908</v>
      </c>
      <c r="G3" s="38" t="s">
        <v>1064</v>
      </c>
      <c r="H3" t="s">
        <v>1061</v>
      </c>
      <c r="I3" s="38" t="s">
        <v>1065</v>
      </c>
    </row>
    <row r="4" spans="1:9" ht="68.25" customHeight="1" x14ac:dyDescent="0.25">
      <c r="A4" t="s">
        <v>167</v>
      </c>
      <c r="B4" t="s">
        <v>1066</v>
      </c>
      <c r="C4" t="s">
        <v>856</v>
      </c>
      <c r="D4" t="s">
        <v>574</v>
      </c>
      <c r="E4">
        <v>2.5</v>
      </c>
      <c r="F4" t="s">
        <v>900</v>
      </c>
      <c r="G4" s="38" t="s">
        <v>1067</v>
      </c>
      <c r="H4" t="s">
        <v>1068</v>
      </c>
      <c r="I4" s="38" t="s">
        <v>1069</v>
      </c>
    </row>
    <row r="5" spans="1:9" ht="54.8" customHeight="1" x14ac:dyDescent="0.25">
      <c r="A5" t="s">
        <v>289</v>
      </c>
      <c r="B5" t="s">
        <v>1070</v>
      </c>
      <c r="C5" t="s">
        <v>856</v>
      </c>
      <c r="D5" t="s">
        <v>568</v>
      </c>
      <c r="E5">
        <v>1.9</v>
      </c>
      <c r="F5" t="s">
        <v>908</v>
      </c>
      <c r="G5" s="38" t="s">
        <v>1071</v>
      </c>
      <c r="H5" t="s">
        <v>1061</v>
      </c>
      <c r="I5" s="38" t="s">
        <v>1072</v>
      </c>
    </row>
    <row r="6" spans="1:9" ht="54.8" customHeight="1" x14ac:dyDescent="0.25">
      <c r="A6" t="s">
        <v>131</v>
      </c>
      <c r="B6" t="s">
        <v>1073</v>
      </c>
      <c r="C6" t="s">
        <v>850</v>
      </c>
      <c r="D6" t="s">
        <v>576</v>
      </c>
      <c r="E6">
        <v>3</v>
      </c>
      <c r="F6" t="s">
        <v>908</v>
      </c>
      <c r="G6" s="38" t="s">
        <v>1074</v>
      </c>
      <c r="H6" t="s">
        <v>1061</v>
      </c>
      <c r="I6" s="38" t="s">
        <v>1075</v>
      </c>
    </row>
    <row r="7" spans="1:9" ht="54.8" customHeight="1" x14ac:dyDescent="0.25">
      <c r="A7" t="s">
        <v>187</v>
      </c>
      <c r="B7" t="s">
        <v>1076</v>
      </c>
      <c r="C7" t="s">
        <v>850</v>
      </c>
      <c r="D7" t="s">
        <v>576</v>
      </c>
      <c r="E7">
        <v>1.3</v>
      </c>
      <c r="F7" t="s">
        <v>900</v>
      </c>
      <c r="G7" s="38" t="s">
        <v>1077</v>
      </c>
      <c r="H7" t="s">
        <v>1061</v>
      </c>
      <c r="I7" s="38" t="s">
        <v>1078</v>
      </c>
    </row>
    <row r="8" spans="1:9" ht="54.8" customHeight="1" x14ac:dyDescent="0.25">
      <c r="A8" t="s">
        <v>227</v>
      </c>
      <c r="B8" t="s">
        <v>1079</v>
      </c>
      <c r="C8" t="s">
        <v>856</v>
      </c>
      <c r="D8" t="s">
        <v>564</v>
      </c>
      <c r="E8">
        <v>6.9</v>
      </c>
      <c r="F8" t="s">
        <v>908</v>
      </c>
      <c r="G8" s="38" t="s">
        <v>1080</v>
      </c>
      <c r="H8" t="s">
        <v>1068</v>
      </c>
      <c r="I8" s="38" t="s">
        <v>1081</v>
      </c>
    </row>
    <row r="9" spans="1:9" ht="54.8" customHeight="1" x14ac:dyDescent="0.25">
      <c r="A9" t="s">
        <v>232</v>
      </c>
      <c r="B9" t="s">
        <v>1082</v>
      </c>
      <c r="C9" t="s">
        <v>856</v>
      </c>
      <c r="D9" t="s">
        <v>572</v>
      </c>
      <c r="E9">
        <v>3.2</v>
      </c>
      <c r="F9" t="s">
        <v>900</v>
      </c>
      <c r="G9" s="38" t="s">
        <v>1083</v>
      </c>
      <c r="H9" t="s">
        <v>1061</v>
      </c>
      <c r="I9" s="38" t="s">
        <v>1084</v>
      </c>
    </row>
    <row r="10" spans="1:9" ht="54.8" customHeight="1" x14ac:dyDescent="0.25">
      <c r="A10" t="s">
        <v>134</v>
      </c>
      <c r="B10" t="s">
        <v>1085</v>
      </c>
      <c r="C10" t="s">
        <v>850</v>
      </c>
      <c r="D10" t="s">
        <v>564</v>
      </c>
      <c r="E10">
        <v>5.8</v>
      </c>
      <c r="F10" t="s">
        <v>908</v>
      </c>
      <c r="G10" s="38" t="s">
        <v>1086</v>
      </c>
      <c r="H10" t="s">
        <v>1061</v>
      </c>
      <c r="I10" s="38" t="s">
        <v>1087</v>
      </c>
    </row>
    <row r="11" spans="1:9" ht="54.8" customHeight="1" x14ac:dyDescent="0.25">
      <c r="A11" t="s">
        <v>298</v>
      </c>
      <c r="B11" t="s">
        <v>1088</v>
      </c>
      <c r="C11" t="s">
        <v>856</v>
      </c>
      <c r="D11" t="s">
        <v>574</v>
      </c>
      <c r="E11">
        <v>2.6</v>
      </c>
      <c r="F11" t="s">
        <v>900</v>
      </c>
      <c r="G11" s="38" t="s">
        <v>1089</v>
      </c>
      <c r="H11" t="s">
        <v>1061</v>
      </c>
      <c r="I11" s="38" t="s">
        <v>1090</v>
      </c>
    </row>
    <row r="12" spans="1:9" ht="68.25" customHeight="1" x14ac:dyDescent="0.25">
      <c r="A12" t="s">
        <v>137</v>
      </c>
      <c r="B12" t="s">
        <v>1091</v>
      </c>
      <c r="C12" t="s">
        <v>856</v>
      </c>
      <c r="D12" t="s">
        <v>570</v>
      </c>
      <c r="E12">
        <v>3.5</v>
      </c>
      <c r="F12" t="s">
        <v>908</v>
      </c>
      <c r="G12" s="38" t="s">
        <v>1092</v>
      </c>
      <c r="H12" t="s">
        <v>1061</v>
      </c>
      <c r="I12" s="38" t="s">
        <v>1093</v>
      </c>
    </row>
    <row r="13" spans="1:9" ht="68.25" customHeight="1" x14ac:dyDescent="0.25">
      <c r="A13" t="s">
        <v>254</v>
      </c>
      <c r="B13" t="s">
        <v>1094</v>
      </c>
      <c r="C13" t="s">
        <v>856</v>
      </c>
      <c r="D13" t="s">
        <v>568</v>
      </c>
      <c r="E13">
        <v>0.7</v>
      </c>
      <c r="F13" t="s">
        <v>908</v>
      </c>
      <c r="G13" s="38" t="s">
        <v>1095</v>
      </c>
      <c r="H13" t="s">
        <v>1061</v>
      </c>
      <c r="I13" s="38" t="s">
        <v>1096</v>
      </c>
    </row>
    <row r="14" spans="1:9" ht="54.8" customHeight="1" x14ac:dyDescent="0.25">
      <c r="A14" t="s">
        <v>239</v>
      </c>
      <c r="B14" t="s">
        <v>1097</v>
      </c>
      <c r="C14" t="s">
        <v>850</v>
      </c>
      <c r="D14" t="s">
        <v>576</v>
      </c>
      <c r="E14">
        <v>2.8</v>
      </c>
      <c r="F14" t="s">
        <v>908</v>
      </c>
      <c r="G14" s="38" t="s">
        <v>1098</v>
      </c>
      <c r="H14" t="s">
        <v>1061</v>
      </c>
      <c r="I14" s="38" t="s">
        <v>1099</v>
      </c>
    </row>
    <row r="15" spans="1:9" ht="68.25" customHeight="1" x14ac:dyDescent="0.25">
      <c r="A15" t="s">
        <v>257</v>
      </c>
      <c r="B15" t="s">
        <v>1100</v>
      </c>
      <c r="C15" t="s">
        <v>856</v>
      </c>
      <c r="D15" t="s">
        <v>574</v>
      </c>
      <c r="E15">
        <v>5.8</v>
      </c>
      <c r="F15" t="s">
        <v>900</v>
      </c>
      <c r="G15" s="38" t="s">
        <v>1101</v>
      </c>
      <c r="H15" t="s">
        <v>1061</v>
      </c>
      <c r="I15" s="38" t="s">
        <v>1102</v>
      </c>
    </row>
    <row r="16" spans="1:9" ht="54.8" customHeight="1" x14ac:dyDescent="0.25">
      <c r="A16" t="s">
        <v>161</v>
      </c>
      <c r="B16" t="s">
        <v>1103</v>
      </c>
      <c r="C16" t="s">
        <v>850</v>
      </c>
      <c r="D16" t="s">
        <v>564</v>
      </c>
      <c r="E16">
        <v>6.9</v>
      </c>
      <c r="F16" t="s">
        <v>899</v>
      </c>
      <c r="G16" s="38" t="s">
        <v>1104</v>
      </c>
      <c r="H16" t="s">
        <v>1061</v>
      </c>
      <c r="I16" s="38" t="s">
        <v>1105</v>
      </c>
    </row>
    <row r="17" spans="1:9" ht="54.8" customHeight="1" x14ac:dyDescent="0.25">
      <c r="A17" t="s">
        <v>147</v>
      </c>
      <c r="B17" t="s">
        <v>1106</v>
      </c>
      <c r="C17" t="s">
        <v>850</v>
      </c>
      <c r="D17" t="s">
        <v>566</v>
      </c>
      <c r="E17">
        <v>6.8</v>
      </c>
      <c r="F17" t="s">
        <v>908</v>
      </c>
      <c r="G17" s="38" t="s">
        <v>1107</v>
      </c>
      <c r="H17" t="s">
        <v>1061</v>
      </c>
      <c r="I17" s="38" t="s">
        <v>1108</v>
      </c>
    </row>
    <row r="18" spans="1:9" ht="54.8" customHeight="1" x14ac:dyDescent="0.25">
      <c r="A18" t="s">
        <v>315</v>
      </c>
      <c r="B18" t="s">
        <v>1109</v>
      </c>
      <c r="C18" t="s">
        <v>856</v>
      </c>
      <c r="D18" t="s">
        <v>576</v>
      </c>
      <c r="E18">
        <v>7.2</v>
      </c>
      <c r="F18" t="s">
        <v>908</v>
      </c>
      <c r="G18" s="38" t="s">
        <v>1110</v>
      </c>
      <c r="H18" t="s">
        <v>1111</v>
      </c>
      <c r="I18" s="38" t="s">
        <v>1112</v>
      </c>
    </row>
    <row r="19" spans="1:9" ht="54.8" customHeight="1" x14ac:dyDescent="0.25">
      <c r="A19" t="s">
        <v>310</v>
      </c>
      <c r="B19" t="s">
        <v>1113</v>
      </c>
      <c r="C19" t="s">
        <v>850</v>
      </c>
      <c r="D19" t="s">
        <v>574</v>
      </c>
      <c r="E19">
        <v>9</v>
      </c>
      <c r="F19" t="s">
        <v>908</v>
      </c>
      <c r="G19" s="38" t="s">
        <v>1114</v>
      </c>
      <c r="H19" t="s">
        <v>1061</v>
      </c>
      <c r="I19" s="38" t="s">
        <v>1115</v>
      </c>
    </row>
    <row r="20" spans="1:9" ht="54.8" customHeight="1" x14ac:dyDescent="0.25">
      <c r="A20" t="s">
        <v>101</v>
      </c>
      <c r="B20" t="s">
        <v>1116</v>
      </c>
      <c r="C20" t="s">
        <v>850</v>
      </c>
      <c r="D20" t="s">
        <v>564</v>
      </c>
      <c r="E20">
        <v>3.5</v>
      </c>
      <c r="F20" t="s">
        <v>900</v>
      </c>
      <c r="G20" s="38" t="s">
        <v>1117</v>
      </c>
      <c r="H20" t="s">
        <v>1061</v>
      </c>
      <c r="I20" s="38" t="s">
        <v>1118</v>
      </c>
    </row>
    <row r="21" spans="1:9" ht="54.8" customHeight="1" x14ac:dyDescent="0.25">
      <c r="A21" t="s">
        <v>208</v>
      </c>
      <c r="B21" t="s">
        <v>1119</v>
      </c>
      <c r="C21" t="s">
        <v>850</v>
      </c>
      <c r="D21" t="s">
        <v>574</v>
      </c>
      <c r="E21">
        <v>2.2999999999999998</v>
      </c>
      <c r="F21" t="s">
        <v>899</v>
      </c>
      <c r="G21" s="38" t="s">
        <v>1120</v>
      </c>
      <c r="H21" t="s">
        <v>1061</v>
      </c>
      <c r="I21" s="38" t="s">
        <v>1121</v>
      </c>
    </row>
    <row r="22" spans="1:9" ht="54.8" customHeight="1" x14ac:dyDescent="0.25">
      <c r="A22" t="s">
        <v>234</v>
      </c>
      <c r="B22" t="s">
        <v>1122</v>
      </c>
      <c r="C22" t="s">
        <v>856</v>
      </c>
      <c r="D22" t="s">
        <v>564</v>
      </c>
      <c r="E22">
        <v>0.7</v>
      </c>
      <c r="F22" t="s">
        <v>899</v>
      </c>
      <c r="G22" s="38" t="s">
        <v>1123</v>
      </c>
      <c r="H22" t="s">
        <v>1061</v>
      </c>
      <c r="I22" s="38" t="s">
        <v>1124</v>
      </c>
    </row>
    <row r="23" spans="1:9" ht="68.25" customHeight="1" x14ac:dyDescent="0.25">
      <c r="A23" t="s">
        <v>156</v>
      </c>
      <c r="B23" t="s">
        <v>1125</v>
      </c>
      <c r="C23" t="s">
        <v>850</v>
      </c>
      <c r="D23" t="s">
        <v>568</v>
      </c>
      <c r="E23">
        <v>5.8</v>
      </c>
      <c r="F23" t="s">
        <v>899</v>
      </c>
      <c r="G23" s="38" t="s">
        <v>1126</v>
      </c>
      <c r="H23" t="s">
        <v>1061</v>
      </c>
      <c r="I23" s="38" t="s">
        <v>1127</v>
      </c>
    </row>
    <row r="24" spans="1:9" ht="41.25" customHeight="1" x14ac:dyDescent="0.25">
      <c r="A24" t="s">
        <v>274</v>
      </c>
      <c r="B24" t="s">
        <v>1128</v>
      </c>
      <c r="C24" t="s">
        <v>850</v>
      </c>
      <c r="D24" t="s">
        <v>564</v>
      </c>
      <c r="E24">
        <v>0.1</v>
      </c>
      <c r="F24" t="s">
        <v>900</v>
      </c>
      <c r="G24" s="38" t="s">
        <v>1129</v>
      </c>
      <c r="H24" t="s">
        <v>1061</v>
      </c>
      <c r="I24" s="38" t="s">
        <v>1130</v>
      </c>
    </row>
    <row r="25" spans="1:9" ht="54.8" customHeight="1" x14ac:dyDescent="0.25">
      <c r="A25" t="s">
        <v>277</v>
      </c>
      <c r="B25" t="s">
        <v>1131</v>
      </c>
      <c r="C25" t="s">
        <v>856</v>
      </c>
      <c r="D25" t="s">
        <v>576</v>
      </c>
      <c r="E25">
        <v>4.4000000000000004</v>
      </c>
      <c r="F25" t="s">
        <v>908</v>
      </c>
      <c r="G25" s="38" t="s">
        <v>1132</v>
      </c>
      <c r="H25" t="s">
        <v>1111</v>
      </c>
      <c r="I25" s="38" t="s">
        <v>1133</v>
      </c>
    </row>
    <row r="26" spans="1:9" ht="68.25" customHeight="1" x14ac:dyDescent="0.25">
      <c r="A26" t="s">
        <v>105</v>
      </c>
      <c r="B26" t="s">
        <v>1134</v>
      </c>
      <c r="C26" t="s">
        <v>856</v>
      </c>
      <c r="D26" t="s">
        <v>564</v>
      </c>
      <c r="E26">
        <v>5.5</v>
      </c>
      <c r="F26" t="s">
        <v>900</v>
      </c>
      <c r="G26" s="38" t="s">
        <v>1135</v>
      </c>
      <c r="H26" t="s">
        <v>1068</v>
      </c>
      <c r="I26" s="38" t="s">
        <v>1136</v>
      </c>
    </row>
    <row r="27" spans="1:9" ht="54.8" customHeight="1" x14ac:dyDescent="0.25">
      <c r="A27" t="s">
        <v>324</v>
      </c>
      <c r="B27" t="s">
        <v>1137</v>
      </c>
      <c r="C27" t="s">
        <v>850</v>
      </c>
      <c r="D27" t="s">
        <v>572</v>
      </c>
      <c r="E27">
        <v>8.5</v>
      </c>
      <c r="F27" t="s">
        <v>908</v>
      </c>
      <c r="G27" s="38" t="s">
        <v>1138</v>
      </c>
      <c r="H27" t="s">
        <v>1061</v>
      </c>
      <c r="I27" s="38" t="s">
        <v>1139</v>
      </c>
    </row>
    <row r="28" spans="1:9" ht="54.8" customHeight="1" x14ac:dyDescent="0.25">
      <c r="A28" t="s">
        <v>259</v>
      </c>
      <c r="B28" t="s">
        <v>1140</v>
      </c>
      <c r="C28" t="s">
        <v>850</v>
      </c>
      <c r="D28" t="s">
        <v>576</v>
      </c>
      <c r="E28">
        <v>4</v>
      </c>
      <c r="F28" t="s">
        <v>908</v>
      </c>
      <c r="G28" s="38" t="s">
        <v>1141</v>
      </c>
      <c r="H28" t="s">
        <v>1111</v>
      </c>
      <c r="I28" s="38" t="s">
        <v>1142</v>
      </c>
    </row>
    <row r="29" spans="1:9" ht="54.8" customHeight="1" x14ac:dyDescent="0.25">
      <c r="A29" t="s">
        <v>194</v>
      </c>
      <c r="B29" t="s">
        <v>1143</v>
      </c>
      <c r="C29" t="s">
        <v>856</v>
      </c>
      <c r="D29" t="s">
        <v>573</v>
      </c>
      <c r="E29">
        <v>5.9</v>
      </c>
      <c r="F29" t="s">
        <v>899</v>
      </c>
      <c r="G29" s="38" t="s">
        <v>1144</v>
      </c>
      <c r="H29" t="s">
        <v>1061</v>
      </c>
      <c r="I29" s="38" t="s">
        <v>1145</v>
      </c>
    </row>
    <row r="30" spans="1:9" ht="54.8" customHeight="1" x14ac:dyDescent="0.25">
      <c r="A30" t="s">
        <v>175</v>
      </c>
      <c r="B30" t="s">
        <v>1146</v>
      </c>
      <c r="C30" t="s">
        <v>850</v>
      </c>
      <c r="D30" t="s">
        <v>570</v>
      </c>
      <c r="E30">
        <v>5.4</v>
      </c>
      <c r="F30" t="s">
        <v>899</v>
      </c>
      <c r="G30" s="38" t="s">
        <v>1147</v>
      </c>
      <c r="H30" t="s">
        <v>1061</v>
      </c>
      <c r="I30" s="38" t="s">
        <v>1148</v>
      </c>
    </row>
    <row r="31" spans="1:9" ht="54.8" customHeight="1" x14ac:dyDescent="0.25">
      <c r="A31" t="s">
        <v>210</v>
      </c>
      <c r="B31" t="s">
        <v>1149</v>
      </c>
      <c r="C31" t="s">
        <v>856</v>
      </c>
      <c r="D31" t="s">
        <v>576</v>
      </c>
      <c r="E31">
        <v>2.2000000000000002</v>
      </c>
      <c r="F31" t="s">
        <v>900</v>
      </c>
      <c r="G31" s="38" t="s">
        <v>1150</v>
      </c>
      <c r="H31" t="s">
        <v>1061</v>
      </c>
      <c r="I31" s="38" t="s">
        <v>1151</v>
      </c>
    </row>
    <row r="32" spans="1:9" ht="68.25" customHeight="1" x14ac:dyDescent="0.25">
      <c r="A32" t="s">
        <v>312</v>
      </c>
      <c r="B32" t="s">
        <v>1152</v>
      </c>
      <c r="C32" t="s">
        <v>850</v>
      </c>
      <c r="D32" t="s">
        <v>573</v>
      </c>
      <c r="E32">
        <v>0.5</v>
      </c>
      <c r="F32" t="s">
        <v>908</v>
      </c>
      <c r="G32" s="38" t="s">
        <v>1153</v>
      </c>
      <c r="H32" t="s">
        <v>1068</v>
      </c>
      <c r="I32" s="38" t="s">
        <v>1154</v>
      </c>
    </row>
    <row r="33" spans="1:9" ht="54.8" customHeight="1" x14ac:dyDescent="0.25">
      <c r="A33" t="s">
        <v>150</v>
      </c>
      <c r="B33" t="s">
        <v>1155</v>
      </c>
      <c r="C33" t="s">
        <v>856</v>
      </c>
      <c r="D33" t="s">
        <v>572</v>
      </c>
      <c r="E33">
        <v>2.2999999999999998</v>
      </c>
      <c r="F33" t="s">
        <v>899</v>
      </c>
      <c r="G33" s="38" t="s">
        <v>1156</v>
      </c>
      <c r="H33" t="s">
        <v>1061</v>
      </c>
      <c r="I33" s="38" t="s">
        <v>1157</v>
      </c>
    </row>
    <row r="34" spans="1:9" ht="54.8" customHeight="1" x14ac:dyDescent="0.25">
      <c r="A34" t="s">
        <v>279</v>
      </c>
      <c r="B34" t="s">
        <v>1158</v>
      </c>
      <c r="C34" t="s">
        <v>850</v>
      </c>
      <c r="D34" t="s">
        <v>572</v>
      </c>
      <c r="E34">
        <v>3.9</v>
      </c>
      <c r="F34" t="s">
        <v>908</v>
      </c>
      <c r="G34" s="38" t="s">
        <v>1159</v>
      </c>
      <c r="H34" t="s">
        <v>1061</v>
      </c>
      <c r="I34" s="38" t="s">
        <v>1160</v>
      </c>
    </row>
    <row r="35" spans="1:9" ht="54.8" customHeight="1" x14ac:dyDescent="0.25">
      <c r="A35" t="s">
        <v>190</v>
      </c>
      <c r="B35" t="s">
        <v>1161</v>
      </c>
      <c r="C35" t="s">
        <v>856</v>
      </c>
      <c r="D35" t="s">
        <v>573</v>
      </c>
      <c r="E35">
        <v>3.4</v>
      </c>
      <c r="F35" t="s">
        <v>900</v>
      </c>
      <c r="G35" s="38" t="s">
        <v>1162</v>
      </c>
      <c r="H35" t="s">
        <v>1061</v>
      </c>
      <c r="I35" s="38" t="s">
        <v>1163</v>
      </c>
    </row>
    <row r="36" spans="1:9" ht="54.8" customHeight="1" x14ac:dyDescent="0.25">
      <c r="A36" t="s">
        <v>261</v>
      </c>
      <c r="B36" t="s">
        <v>1164</v>
      </c>
      <c r="C36" t="s">
        <v>850</v>
      </c>
      <c r="D36" t="s">
        <v>572</v>
      </c>
      <c r="E36">
        <v>1.1000000000000001</v>
      </c>
      <c r="F36" t="s">
        <v>908</v>
      </c>
      <c r="G36" s="38" t="s">
        <v>1165</v>
      </c>
      <c r="H36" t="s">
        <v>1061</v>
      </c>
      <c r="I36" s="38" t="s">
        <v>1166</v>
      </c>
    </row>
    <row r="37" spans="1:9" ht="68.25" customHeight="1" x14ac:dyDescent="0.25">
      <c r="A37" t="s">
        <v>192</v>
      </c>
      <c r="B37" t="s">
        <v>1167</v>
      </c>
      <c r="C37" t="s">
        <v>856</v>
      </c>
      <c r="D37" t="s">
        <v>576</v>
      </c>
      <c r="E37">
        <v>3.7</v>
      </c>
      <c r="F37" t="s">
        <v>900</v>
      </c>
      <c r="G37" s="38" t="s">
        <v>1168</v>
      </c>
      <c r="H37" t="s">
        <v>1068</v>
      </c>
      <c r="I37" s="38" t="s">
        <v>1169</v>
      </c>
    </row>
    <row r="38" spans="1:9" ht="54.8" customHeight="1" x14ac:dyDescent="0.25">
      <c r="A38" t="s">
        <v>338</v>
      </c>
      <c r="B38" t="s">
        <v>1170</v>
      </c>
      <c r="C38" t="s">
        <v>856</v>
      </c>
      <c r="D38" t="s">
        <v>576</v>
      </c>
      <c r="E38">
        <v>6.6</v>
      </c>
      <c r="F38" t="s">
        <v>908</v>
      </c>
      <c r="G38" s="38" t="s">
        <v>1171</v>
      </c>
      <c r="H38" t="s">
        <v>1061</v>
      </c>
      <c r="I38" s="38" t="s">
        <v>1172</v>
      </c>
    </row>
    <row r="39" spans="1:9" ht="68.25" customHeight="1" x14ac:dyDescent="0.25">
      <c r="A39" t="s">
        <v>263</v>
      </c>
      <c r="B39" t="s">
        <v>1173</v>
      </c>
      <c r="C39" t="s">
        <v>850</v>
      </c>
      <c r="D39" t="s">
        <v>574</v>
      </c>
      <c r="E39">
        <v>4.0999999999999996</v>
      </c>
      <c r="F39" t="s">
        <v>908</v>
      </c>
      <c r="G39" s="38" t="s">
        <v>1174</v>
      </c>
      <c r="H39" t="s">
        <v>1111</v>
      </c>
      <c r="I39" s="38" t="s">
        <v>1175</v>
      </c>
    </row>
    <row r="40" spans="1:9" ht="54.8" customHeight="1" x14ac:dyDescent="0.25">
      <c r="A40" t="s">
        <v>164</v>
      </c>
      <c r="B40" t="s">
        <v>1176</v>
      </c>
      <c r="C40" t="s">
        <v>850</v>
      </c>
      <c r="D40" t="s">
        <v>564</v>
      </c>
      <c r="E40">
        <v>3.5</v>
      </c>
      <c r="F40" t="s">
        <v>908</v>
      </c>
      <c r="G40" s="38" t="s">
        <v>1177</v>
      </c>
      <c r="H40" t="s">
        <v>1111</v>
      </c>
      <c r="I40" s="38" t="s">
        <v>1178</v>
      </c>
    </row>
    <row r="41" spans="1:9" ht="54.8" customHeight="1" x14ac:dyDescent="0.25">
      <c r="A41" t="s">
        <v>114</v>
      </c>
      <c r="B41" t="s">
        <v>1179</v>
      </c>
      <c r="C41" t="s">
        <v>850</v>
      </c>
      <c r="D41" t="s">
        <v>564</v>
      </c>
      <c r="E41">
        <v>5.6</v>
      </c>
      <c r="F41" t="s">
        <v>899</v>
      </c>
      <c r="G41" s="38" t="s">
        <v>1180</v>
      </c>
      <c r="H41" t="s">
        <v>1068</v>
      </c>
      <c r="I41" s="38" t="s">
        <v>1181</v>
      </c>
    </row>
    <row r="42" spans="1:9" ht="54.8" customHeight="1" x14ac:dyDescent="0.25">
      <c r="A42" t="s">
        <v>292</v>
      </c>
      <c r="B42" t="s">
        <v>1182</v>
      </c>
      <c r="C42" t="s">
        <v>856</v>
      </c>
      <c r="D42" t="s">
        <v>576</v>
      </c>
      <c r="E42">
        <v>5.0999999999999996</v>
      </c>
      <c r="F42" t="s">
        <v>900</v>
      </c>
      <c r="G42" s="38" t="s">
        <v>1183</v>
      </c>
      <c r="H42" t="s">
        <v>1061</v>
      </c>
      <c r="I42" s="38" t="s">
        <v>1184</v>
      </c>
    </row>
    <row r="43" spans="1:9" ht="54.8" customHeight="1" x14ac:dyDescent="0.25">
      <c r="A43" t="s">
        <v>241</v>
      </c>
      <c r="B43" t="s">
        <v>1185</v>
      </c>
      <c r="C43" t="s">
        <v>856</v>
      </c>
      <c r="D43" t="s">
        <v>573</v>
      </c>
      <c r="E43">
        <v>5.5</v>
      </c>
      <c r="F43" t="s">
        <v>908</v>
      </c>
      <c r="G43" s="38" t="s">
        <v>1186</v>
      </c>
      <c r="H43" t="s">
        <v>1061</v>
      </c>
      <c r="I43" s="38" t="s">
        <v>1187</v>
      </c>
    </row>
    <row r="44" spans="1:9" ht="68.25" customHeight="1" x14ac:dyDescent="0.25">
      <c r="A44" t="s">
        <v>153</v>
      </c>
      <c r="B44" t="s">
        <v>1188</v>
      </c>
      <c r="C44" t="s">
        <v>856</v>
      </c>
      <c r="D44" t="s">
        <v>564</v>
      </c>
      <c r="E44">
        <v>1.9</v>
      </c>
      <c r="F44" t="s">
        <v>900</v>
      </c>
      <c r="G44" s="38" t="s">
        <v>1189</v>
      </c>
      <c r="H44" t="s">
        <v>1068</v>
      </c>
      <c r="I44" s="38" t="s">
        <v>1190</v>
      </c>
    </row>
    <row r="45" spans="1:9" ht="54.8" customHeight="1" x14ac:dyDescent="0.25">
      <c r="A45" t="s">
        <v>125</v>
      </c>
      <c r="B45" t="s">
        <v>1191</v>
      </c>
      <c r="C45" t="s">
        <v>856</v>
      </c>
      <c r="D45" t="s">
        <v>566</v>
      </c>
      <c r="E45">
        <v>7.2</v>
      </c>
      <c r="F45" t="s">
        <v>900</v>
      </c>
      <c r="G45" s="38" t="s">
        <v>1192</v>
      </c>
      <c r="H45" t="s">
        <v>1061</v>
      </c>
      <c r="I45" s="38" t="s">
        <v>1193</v>
      </c>
    </row>
    <row r="46" spans="1:9" ht="54.8" customHeight="1" x14ac:dyDescent="0.25">
      <c r="A46" t="s">
        <v>281</v>
      </c>
      <c r="B46" t="s">
        <v>1194</v>
      </c>
      <c r="C46" t="s">
        <v>856</v>
      </c>
      <c r="D46" t="s">
        <v>566</v>
      </c>
      <c r="E46">
        <v>1.7</v>
      </c>
      <c r="F46" t="s">
        <v>908</v>
      </c>
      <c r="G46" s="38" t="s">
        <v>1195</v>
      </c>
      <c r="H46" t="s">
        <v>1068</v>
      </c>
      <c r="I46" s="38" t="s">
        <v>1196</v>
      </c>
    </row>
    <row r="47" spans="1:9" ht="54.8" customHeight="1" x14ac:dyDescent="0.25">
      <c r="A47" t="s">
        <v>244</v>
      </c>
      <c r="B47" t="s">
        <v>1197</v>
      </c>
      <c r="C47" t="s">
        <v>856</v>
      </c>
      <c r="D47" t="s">
        <v>572</v>
      </c>
      <c r="E47">
        <v>4.5</v>
      </c>
      <c r="F47" t="s">
        <v>900</v>
      </c>
      <c r="G47" s="38" t="s">
        <v>1198</v>
      </c>
      <c r="H47" t="s">
        <v>1061</v>
      </c>
      <c r="I47" s="38" t="s">
        <v>1199</v>
      </c>
    </row>
    <row r="48" spans="1:9" ht="68.25" customHeight="1" x14ac:dyDescent="0.25">
      <c r="A48" t="s">
        <v>300</v>
      </c>
      <c r="B48" t="s">
        <v>1200</v>
      </c>
      <c r="C48" t="s">
        <v>856</v>
      </c>
      <c r="D48" t="s">
        <v>573</v>
      </c>
      <c r="E48">
        <v>8.4</v>
      </c>
      <c r="F48" t="s">
        <v>900</v>
      </c>
      <c r="G48" s="38" t="s">
        <v>1201</v>
      </c>
      <c r="H48" t="s">
        <v>1061</v>
      </c>
      <c r="I48" s="38" t="s">
        <v>1202</v>
      </c>
    </row>
    <row r="49" spans="1:9" ht="68.25" customHeight="1" x14ac:dyDescent="0.25">
      <c r="A49" t="s">
        <v>326</v>
      </c>
      <c r="B49" t="s">
        <v>1203</v>
      </c>
      <c r="C49" t="s">
        <v>856</v>
      </c>
      <c r="D49" t="s">
        <v>576</v>
      </c>
      <c r="E49">
        <v>1.1000000000000001</v>
      </c>
      <c r="F49" t="s">
        <v>908</v>
      </c>
      <c r="G49" s="38" t="s">
        <v>1204</v>
      </c>
      <c r="H49" t="s">
        <v>1068</v>
      </c>
      <c r="I49" s="38" t="s">
        <v>1205</v>
      </c>
    </row>
    <row r="50" spans="1:9" ht="68.25" customHeight="1" x14ac:dyDescent="0.25">
      <c r="A50" t="s">
        <v>196</v>
      </c>
      <c r="B50" t="s">
        <v>1206</v>
      </c>
      <c r="C50" t="s">
        <v>850</v>
      </c>
      <c r="D50" t="s">
        <v>573</v>
      </c>
      <c r="E50">
        <v>3.7</v>
      </c>
      <c r="F50" t="s">
        <v>908</v>
      </c>
      <c r="G50" s="38" t="s">
        <v>1207</v>
      </c>
      <c r="H50" t="s">
        <v>1111</v>
      </c>
      <c r="I50" s="38" t="s">
        <v>1208</v>
      </c>
    </row>
    <row r="51" spans="1:9" ht="54.8" customHeight="1" x14ac:dyDescent="0.25">
      <c r="A51" t="s">
        <v>246</v>
      </c>
      <c r="B51" t="s">
        <v>1209</v>
      </c>
      <c r="C51" t="s">
        <v>850</v>
      </c>
      <c r="D51" t="s">
        <v>576</v>
      </c>
      <c r="E51">
        <v>1.1000000000000001</v>
      </c>
      <c r="F51" t="s">
        <v>908</v>
      </c>
      <c r="G51" s="38" t="s">
        <v>1210</v>
      </c>
      <c r="H51" t="s">
        <v>1068</v>
      </c>
      <c r="I51" s="38" t="s">
        <v>1211</v>
      </c>
    </row>
    <row r="52" spans="1:9" ht="54.8" customHeight="1" x14ac:dyDescent="0.25">
      <c r="A52" t="s">
        <v>96</v>
      </c>
      <c r="B52" t="s">
        <v>1212</v>
      </c>
      <c r="C52" t="s">
        <v>856</v>
      </c>
      <c r="D52" t="s">
        <v>566</v>
      </c>
      <c r="E52">
        <v>3.4</v>
      </c>
      <c r="F52" t="s">
        <v>900</v>
      </c>
      <c r="G52" s="38" t="s">
        <v>1213</v>
      </c>
      <c r="H52" t="s">
        <v>1111</v>
      </c>
      <c r="I52" s="38" t="s">
        <v>1214</v>
      </c>
    </row>
    <row r="53" spans="1:9" ht="54.8" customHeight="1" x14ac:dyDescent="0.25">
      <c r="A53" t="s">
        <v>118</v>
      </c>
      <c r="B53" t="s">
        <v>1215</v>
      </c>
      <c r="C53" t="s">
        <v>856</v>
      </c>
      <c r="D53" t="s">
        <v>568</v>
      </c>
      <c r="E53">
        <v>3.2</v>
      </c>
      <c r="F53" t="s">
        <v>900</v>
      </c>
      <c r="G53" s="38" t="s">
        <v>1216</v>
      </c>
      <c r="H53" t="s">
        <v>1061</v>
      </c>
      <c r="I53" s="38" t="s">
        <v>1217</v>
      </c>
    </row>
    <row r="54" spans="1:9" ht="54.8" customHeight="1" x14ac:dyDescent="0.25">
      <c r="A54" t="s">
        <v>229</v>
      </c>
      <c r="B54" t="s">
        <v>1218</v>
      </c>
      <c r="C54" t="s">
        <v>850</v>
      </c>
      <c r="D54" t="s">
        <v>566</v>
      </c>
      <c r="E54">
        <v>5.4</v>
      </c>
      <c r="F54" t="s">
        <v>899</v>
      </c>
      <c r="G54" s="38" t="s">
        <v>1219</v>
      </c>
      <c r="H54" t="s">
        <v>1061</v>
      </c>
      <c r="I54" s="38" t="s">
        <v>1220</v>
      </c>
    </row>
    <row r="55" spans="1:9" ht="54.8" customHeight="1" x14ac:dyDescent="0.25">
      <c r="A55" t="s">
        <v>248</v>
      </c>
      <c r="B55" t="s">
        <v>1221</v>
      </c>
      <c r="C55" t="s">
        <v>856</v>
      </c>
      <c r="D55" t="s">
        <v>568</v>
      </c>
      <c r="E55">
        <v>8.6999999999999993</v>
      </c>
      <c r="F55" t="s">
        <v>899</v>
      </c>
      <c r="G55" s="38" t="s">
        <v>1222</v>
      </c>
      <c r="H55" t="s">
        <v>1061</v>
      </c>
      <c r="I55" s="38" t="s">
        <v>1223</v>
      </c>
    </row>
    <row r="56" spans="1:9" ht="54.8" customHeight="1" x14ac:dyDescent="0.25">
      <c r="A56" t="s">
        <v>108</v>
      </c>
      <c r="B56" t="s">
        <v>1224</v>
      </c>
      <c r="C56" t="s">
        <v>850</v>
      </c>
      <c r="D56" t="s">
        <v>566</v>
      </c>
      <c r="E56">
        <v>7.3</v>
      </c>
      <c r="F56" t="s">
        <v>900</v>
      </c>
      <c r="G56" s="38" t="s">
        <v>1225</v>
      </c>
      <c r="H56" t="s">
        <v>1061</v>
      </c>
      <c r="I56" s="38" t="s">
        <v>1226</v>
      </c>
    </row>
    <row r="57" spans="1:9" ht="54.8" customHeight="1" x14ac:dyDescent="0.25">
      <c r="A57" t="s">
        <v>218</v>
      </c>
      <c r="B57" t="s">
        <v>1227</v>
      </c>
      <c r="C57" t="s">
        <v>850</v>
      </c>
      <c r="D57" t="s">
        <v>568</v>
      </c>
      <c r="E57">
        <v>5.9</v>
      </c>
      <c r="F57" t="s">
        <v>900</v>
      </c>
      <c r="G57" s="38" t="s">
        <v>1228</v>
      </c>
      <c r="H57" t="s">
        <v>1061</v>
      </c>
      <c r="I57" s="38" t="s">
        <v>1229</v>
      </c>
    </row>
    <row r="58" spans="1:9" ht="54.8" customHeight="1" x14ac:dyDescent="0.25">
      <c r="A58" t="s">
        <v>212</v>
      </c>
      <c r="B58" t="s">
        <v>1230</v>
      </c>
      <c r="C58" t="s">
        <v>856</v>
      </c>
      <c r="D58" t="s">
        <v>573</v>
      </c>
      <c r="E58">
        <v>4.5999999999999996</v>
      </c>
      <c r="F58" t="s">
        <v>908</v>
      </c>
      <c r="G58" s="38" t="s">
        <v>1231</v>
      </c>
      <c r="H58" t="s">
        <v>1111</v>
      </c>
      <c r="I58" s="38" t="s">
        <v>1232</v>
      </c>
    </row>
    <row r="59" spans="1:9" ht="54.8" customHeight="1" x14ac:dyDescent="0.25">
      <c r="A59" t="s">
        <v>220</v>
      </c>
      <c r="B59" t="s">
        <v>1233</v>
      </c>
      <c r="C59" t="s">
        <v>856</v>
      </c>
      <c r="D59" t="s">
        <v>573</v>
      </c>
      <c r="E59">
        <v>8.9</v>
      </c>
      <c r="F59" t="s">
        <v>900</v>
      </c>
      <c r="G59" s="38" t="s">
        <v>1234</v>
      </c>
      <c r="H59" t="s">
        <v>1061</v>
      </c>
      <c r="I59" s="38" t="s">
        <v>1235</v>
      </c>
    </row>
    <row r="60" spans="1:9" ht="68.25" customHeight="1" x14ac:dyDescent="0.25">
      <c r="A60" t="s">
        <v>302</v>
      </c>
      <c r="B60" t="s">
        <v>1082</v>
      </c>
      <c r="C60" t="s">
        <v>856</v>
      </c>
      <c r="D60" t="s">
        <v>574</v>
      </c>
      <c r="E60">
        <v>4.7</v>
      </c>
      <c r="F60" t="s">
        <v>899</v>
      </c>
      <c r="G60" s="38" t="s">
        <v>1236</v>
      </c>
      <c r="H60" t="s">
        <v>1111</v>
      </c>
      <c r="I60" s="38" t="s">
        <v>1237</v>
      </c>
    </row>
    <row r="61" spans="1:9" ht="54.8" customHeight="1" x14ac:dyDescent="0.25">
      <c r="A61" t="s">
        <v>265</v>
      </c>
      <c r="B61" t="s">
        <v>1238</v>
      </c>
      <c r="C61" t="s">
        <v>850</v>
      </c>
      <c r="D61" t="s">
        <v>576</v>
      </c>
      <c r="E61">
        <v>3.1</v>
      </c>
      <c r="F61" t="s">
        <v>908</v>
      </c>
      <c r="G61" s="38" t="s">
        <v>1239</v>
      </c>
      <c r="H61" t="s">
        <v>1061</v>
      </c>
      <c r="I61" s="38" t="s">
        <v>1240</v>
      </c>
    </row>
    <row r="62" spans="1:9" ht="54.8" customHeight="1" x14ac:dyDescent="0.25">
      <c r="A62" t="s">
        <v>340</v>
      </c>
      <c r="B62" t="s">
        <v>1241</v>
      </c>
      <c r="C62" t="s">
        <v>850</v>
      </c>
      <c r="D62" t="s">
        <v>570</v>
      </c>
      <c r="E62">
        <v>0.3</v>
      </c>
      <c r="F62" t="s">
        <v>908</v>
      </c>
      <c r="G62" s="38" t="s">
        <v>1242</v>
      </c>
      <c r="H62" t="s">
        <v>1061</v>
      </c>
      <c r="I62" s="38" t="s">
        <v>1243</v>
      </c>
    </row>
    <row r="63" spans="1:9" ht="54.8" customHeight="1" x14ac:dyDescent="0.25">
      <c r="A63" t="s">
        <v>169</v>
      </c>
      <c r="B63" t="s">
        <v>1244</v>
      </c>
      <c r="C63" t="s">
        <v>856</v>
      </c>
      <c r="D63" t="s">
        <v>573</v>
      </c>
      <c r="E63">
        <v>2.6</v>
      </c>
      <c r="F63" t="s">
        <v>899</v>
      </c>
      <c r="G63" s="38" t="s">
        <v>1245</v>
      </c>
      <c r="H63" t="s">
        <v>1061</v>
      </c>
      <c r="I63" s="38" t="s">
        <v>1246</v>
      </c>
    </row>
    <row r="64" spans="1:9" ht="54.8" customHeight="1" x14ac:dyDescent="0.25">
      <c r="A64" t="s">
        <v>214</v>
      </c>
      <c r="B64" t="s">
        <v>1247</v>
      </c>
      <c r="C64" t="s">
        <v>856</v>
      </c>
      <c r="D64" t="s">
        <v>573</v>
      </c>
      <c r="E64">
        <v>4.3</v>
      </c>
      <c r="F64" t="s">
        <v>908</v>
      </c>
      <c r="G64" s="38" t="s">
        <v>1248</v>
      </c>
      <c r="H64" t="s">
        <v>1061</v>
      </c>
      <c r="I64" s="38" t="s">
        <v>1249</v>
      </c>
    </row>
    <row r="65" spans="1:9" ht="54.8" customHeight="1" x14ac:dyDescent="0.25">
      <c r="A65" t="s">
        <v>318</v>
      </c>
      <c r="B65" t="s">
        <v>1250</v>
      </c>
      <c r="C65" t="s">
        <v>856</v>
      </c>
      <c r="D65" t="s">
        <v>573</v>
      </c>
      <c r="E65">
        <v>4.7</v>
      </c>
      <c r="F65" t="s">
        <v>908</v>
      </c>
      <c r="G65" s="38" t="s">
        <v>1251</v>
      </c>
      <c r="H65" t="s">
        <v>1061</v>
      </c>
      <c r="I65" s="38" t="s">
        <v>1252</v>
      </c>
    </row>
    <row r="66" spans="1:9" ht="54.8" customHeight="1" x14ac:dyDescent="0.25">
      <c r="A66" t="s">
        <v>199</v>
      </c>
      <c r="B66" t="s">
        <v>1253</v>
      </c>
      <c r="C66" t="s">
        <v>856</v>
      </c>
      <c r="D66" t="s">
        <v>564</v>
      </c>
      <c r="E66">
        <v>0.5</v>
      </c>
      <c r="F66" t="s">
        <v>908</v>
      </c>
      <c r="G66" s="38" t="s">
        <v>1254</v>
      </c>
      <c r="H66" t="s">
        <v>1061</v>
      </c>
      <c r="I66" s="38" t="s">
        <v>1255</v>
      </c>
    </row>
    <row r="67" spans="1:9" ht="54.8" customHeight="1" x14ac:dyDescent="0.25">
      <c r="A67" t="s">
        <v>307</v>
      </c>
      <c r="B67" t="s">
        <v>1256</v>
      </c>
      <c r="C67" t="s">
        <v>856</v>
      </c>
      <c r="D67" t="s">
        <v>572</v>
      </c>
      <c r="E67">
        <v>1</v>
      </c>
      <c r="F67" t="s">
        <v>908</v>
      </c>
      <c r="G67" s="38" t="s">
        <v>1257</v>
      </c>
      <c r="H67" t="s">
        <v>1068</v>
      </c>
      <c r="I67" s="38" t="s">
        <v>1258</v>
      </c>
    </row>
    <row r="68" spans="1:9" ht="68.25" customHeight="1" x14ac:dyDescent="0.25">
      <c r="A68" t="s">
        <v>342</v>
      </c>
      <c r="B68" t="s">
        <v>1259</v>
      </c>
      <c r="C68" t="s">
        <v>856</v>
      </c>
      <c r="D68" t="s">
        <v>572</v>
      </c>
      <c r="E68">
        <v>8.9</v>
      </c>
      <c r="F68" t="s">
        <v>900</v>
      </c>
      <c r="G68" s="38" t="s">
        <v>1260</v>
      </c>
      <c r="H68" t="s">
        <v>1068</v>
      </c>
      <c r="I68" s="38" t="s">
        <v>1261</v>
      </c>
    </row>
    <row r="69" spans="1:9" ht="54.8" customHeight="1" x14ac:dyDescent="0.25">
      <c r="A69" t="s">
        <v>320</v>
      </c>
      <c r="B69" t="s">
        <v>1262</v>
      </c>
      <c r="C69" t="s">
        <v>856</v>
      </c>
      <c r="D69" t="s">
        <v>568</v>
      </c>
      <c r="E69">
        <v>1.3</v>
      </c>
      <c r="F69" t="s">
        <v>900</v>
      </c>
      <c r="G69" s="38" t="s">
        <v>1263</v>
      </c>
      <c r="H69" t="s">
        <v>1061</v>
      </c>
      <c r="I69" s="38" t="s">
        <v>1264</v>
      </c>
    </row>
    <row r="70" spans="1:9" ht="68.25" customHeight="1" x14ac:dyDescent="0.25">
      <c r="A70" t="s">
        <v>224</v>
      </c>
      <c r="B70" t="s">
        <v>1265</v>
      </c>
      <c r="C70" t="s">
        <v>850</v>
      </c>
      <c r="D70" t="s">
        <v>573</v>
      </c>
      <c r="E70">
        <v>1.5</v>
      </c>
      <c r="F70" t="s">
        <v>900</v>
      </c>
      <c r="G70" s="38" t="s">
        <v>1266</v>
      </c>
      <c r="H70" t="s">
        <v>1068</v>
      </c>
      <c r="I70" s="38" t="s">
        <v>1267</v>
      </c>
    </row>
    <row r="71" spans="1:9" ht="54.8" customHeight="1" x14ac:dyDescent="0.25">
      <c r="A71" t="s">
        <v>180</v>
      </c>
      <c r="B71" t="s">
        <v>1268</v>
      </c>
      <c r="C71" t="s">
        <v>856</v>
      </c>
      <c r="D71" t="s">
        <v>576</v>
      </c>
      <c r="E71">
        <v>3.7</v>
      </c>
      <c r="F71" t="s">
        <v>900</v>
      </c>
      <c r="G71" s="38" t="s">
        <v>1269</v>
      </c>
      <c r="H71" t="s">
        <v>1061</v>
      </c>
      <c r="I71" s="38" t="s">
        <v>1270</v>
      </c>
    </row>
    <row r="72" spans="1:9" ht="54.8" customHeight="1" x14ac:dyDescent="0.25">
      <c r="A72" t="s">
        <v>304</v>
      </c>
      <c r="B72" t="s">
        <v>1271</v>
      </c>
      <c r="C72" t="s">
        <v>850</v>
      </c>
      <c r="D72" t="s">
        <v>574</v>
      </c>
      <c r="E72">
        <v>8.5</v>
      </c>
      <c r="F72" t="s">
        <v>900</v>
      </c>
      <c r="G72" s="38" t="s">
        <v>1272</v>
      </c>
      <c r="H72" t="s">
        <v>1061</v>
      </c>
      <c r="I72" s="38" t="s">
        <v>1273</v>
      </c>
    </row>
    <row r="73" spans="1:9" ht="54.8" customHeight="1" x14ac:dyDescent="0.25">
      <c r="A73" t="s">
        <v>159</v>
      </c>
      <c r="B73" t="s">
        <v>1274</v>
      </c>
      <c r="C73" t="s">
        <v>850</v>
      </c>
      <c r="D73" t="s">
        <v>573</v>
      </c>
      <c r="E73">
        <v>4.8</v>
      </c>
      <c r="F73" t="s">
        <v>908</v>
      </c>
      <c r="G73" s="38" t="s">
        <v>1275</v>
      </c>
      <c r="H73" t="s">
        <v>1061</v>
      </c>
      <c r="I73" s="38" t="s">
        <v>1276</v>
      </c>
    </row>
    <row r="74" spans="1:9" ht="68.25" customHeight="1" x14ac:dyDescent="0.25">
      <c r="A74" t="s">
        <v>139</v>
      </c>
      <c r="B74" t="s">
        <v>1277</v>
      </c>
      <c r="C74" t="s">
        <v>856</v>
      </c>
      <c r="D74" t="s">
        <v>566</v>
      </c>
      <c r="E74">
        <v>7.7</v>
      </c>
      <c r="F74" t="s">
        <v>899</v>
      </c>
      <c r="G74" s="38" t="s">
        <v>1278</v>
      </c>
      <c r="H74" t="s">
        <v>1061</v>
      </c>
      <c r="I74" s="38" t="s">
        <v>1279</v>
      </c>
    </row>
    <row r="75" spans="1:9" ht="54.8" customHeight="1" x14ac:dyDescent="0.25">
      <c r="A75" t="s">
        <v>334</v>
      </c>
      <c r="B75" t="s">
        <v>1280</v>
      </c>
      <c r="C75" t="s">
        <v>850</v>
      </c>
      <c r="D75" t="s">
        <v>576</v>
      </c>
      <c r="E75">
        <v>8.3000000000000007</v>
      </c>
      <c r="F75" t="s">
        <v>900</v>
      </c>
      <c r="G75" s="38" t="s">
        <v>1281</v>
      </c>
      <c r="H75" t="s">
        <v>1061</v>
      </c>
      <c r="I75" s="38" t="s">
        <v>1282</v>
      </c>
    </row>
    <row r="76" spans="1:9" ht="54.8" customHeight="1" x14ac:dyDescent="0.25">
      <c r="A76" t="s">
        <v>250</v>
      </c>
      <c r="B76" t="s">
        <v>1283</v>
      </c>
      <c r="C76" t="s">
        <v>850</v>
      </c>
      <c r="D76" t="s">
        <v>570</v>
      </c>
      <c r="E76">
        <v>8.1999999999999993</v>
      </c>
      <c r="F76" t="s">
        <v>900</v>
      </c>
      <c r="G76" s="38" t="s">
        <v>1284</v>
      </c>
      <c r="H76" t="s">
        <v>1068</v>
      </c>
      <c r="I76" s="38" t="s">
        <v>1285</v>
      </c>
    </row>
    <row r="77" spans="1:9" ht="54.8" customHeight="1" x14ac:dyDescent="0.25">
      <c r="A77" t="s">
        <v>328</v>
      </c>
      <c r="B77" t="s">
        <v>1286</v>
      </c>
      <c r="C77" t="s">
        <v>850</v>
      </c>
      <c r="D77" t="s">
        <v>573</v>
      </c>
      <c r="E77">
        <v>8.4</v>
      </c>
      <c r="F77" t="s">
        <v>900</v>
      </c>
      <c r="G77" s="38" t="s">
        <v>1287</v>
      </c>
      <c r="H77" t="s">
        <v>1111</v>
      </c>
      <c r="I77" s="38" t="s">
        <v>1288</v>
      </c>
    </row>
    <row r="78" spans="1:9" ht="54.8" customHeight="1" x14ac:dyDescent="0.25">
      <c r="A78" t="s">
        <v>183</v>
      </c>
      <c r="B78" t="s">
        <v>1289</v>
      </c>
      <c r="C78" t="s">
        <v>856</v>
      </c>
      <c r="D78" t="s">
        <v>576</v>
      </c>
      <c r="E78">
        <v>2.5</v>
      </c>
      <c r="F78" t="s">
        <v>908</v>
      </c>
      <c r="G78" s="38" t="s">
        <v>1290</v>
      </c>
      <c r="H78" t="s">
        <v>1061</v>
      </c>
      <c r="I78" s="38" t="s">
        <v>1291</v>
      </c>
    </row>
    <row r="79" spans="1:9" ht="68.25" customHeight="1" x14ac:dyDescent="0.25">
      <c r="A79" t="s">
        <v>336</v>
      </c>
      <c r="B79" t="s">
        <v>1292</v>
      </c>
      <c r="C79" t="s">
        <v>850</v>
      </c>
      <c r="D79" t="s">
        <v>576</v>
      </c>
      <c r="E79">
        <v>0.4</v>
      </c>
      <c r="F79" t="s">
        <v>908</v>
      </c>
      <c r="G79" s="38" t="s">
        <v>1293</v>
      </c>
      <c r="H79" t="s">
        <v>1111</v>
      </c>
      <c r="I79" s="38" t="s">
        <v>1294</v>
      </c>
    </row>
    <row r="80" spans="1:9" ht="54.8" customHeight="1" x14ac:dyDescent="0.25">
      <c r="A80" t="s">
        <v>216</v>
      </c>
      <c r="B80" t="s">
        <v>1230</v>
      </c>
      <c r="C80" t="s">
        <v>856</v>
      </c>
      <c r="D80" t="s">
        <v>574</v>
      </c>
      <c r="E80">
        <v>2.1</v>
      </c>
      <c r="F80" t="s">
        <v>908</v>
      </c>
      <c r="G80" s="38" t="s">
        <v>1295</v>
      </c>
      <c r="H80" t="s">
        <v>1111</v>
      </c>
      <c r="I80" s="38" t="s">
        <v>1296</v>
      </c>
    </row>
    <row r="81" spans="1:9" ht="54.8" customHeight="1" x14ac:dyDescent="0.25">
      <c r="A81" t="s">
        <v>185</v>
      </c>
      <c r="B81" t="s">
        <v>1297</v>
      </c>
      <c r="C81" t="s">
        <v>850</v>
      </c>
      <c r="D81" t="s">
        <v>568</v>
      </c>
      <c r="E81">
        <v>6.1</v>
      </c>
      <c r="F81" t="s">
        <v>900</v>
      </c>
      <c r="G81" s="38" t="s">
        <v>1298</v>
      </c>
      <c r="H81" t="s">
        <v>1061</v>
      </c>
      <c r="I81" s="38" t="s">
        <v>1299</v>
      </c>
    </row>
    <row r="82" spans="1:9" ht="54.8" customHeight="1" x14ac:dyDescent="0.25">
      <c r="A82" t="s">
        <v>252</v>
      </c>
      <c r="B82" t="s">
        <v>1300</v>
      </c>
      <c r="C82" t="s">
        <v>850</v>
      </c>
      <c r="D82" t="s">
        <v>570</v>
      </c>
      <c r="E82">
        <v>4.3</v>
      </c>
      <c r="F82" t="s">
        <v>908</v>
      </c>
      <c r="G82" s="38" t="s">
        <v>1301</v>
      </c>
      <c r="H82" t="s">
        <v>1061</v>
      </c>
      <c r="I82" s="38" t="s">
        <v>1302</v>
      </c>
    </row>
    <row r="83" spans="1:9" ht="54.8" customHeight="1" x14ac:dyDescent="0.25">
      <c r="A83" t="s">
        <v>332</v>
      </c>
      <c r="B83" t="s">
        <v>1253</v>
      </c>
      <c r="C83" t="s">
        <v>856</v>
      </c>
      <c r="D83" t="s">
        <v>573</v>
      </c>
      <c r="E83">
        <v>1.3</v>
      </c>
      <c r="F83" t="s">
        <v>899</v>
      </c>
      <c r="G83" s="38" t="s">
        <v>1303</v>
      </c>
      <c r="H83" t="s">
        <v>1061</v>
      </c>
      <c r="I83" s="38" t="s">
        <v>1304</v>
      </c>
    </row>
    <row r="84" spans="1:9" ht="68.25" customHeight="1" x14ac:dyDescent="0.25">
      <c r="A84" t="s">
        <v>142</v>
      </c>
      <c r="B84" t="s">
        <v>1305</v>
      </c>
      <c r="C84" t="s">
        <v>850</v>
      </c>
      <c r="D84" t="s">
        <v>564</v>
      </c>
      <c r="E84">
        <v>8.9</v>
      </c>
      <c r="F84" t="s">
        <v>908</v>
      </c>
      <c r="G84" s="38" t="s">
        <v>1306</v>
      </c>
      <c r="H84" t="s">
        <v>1061</v>
      </c>
      <c r="I84" s="38" t="s">
        <v>1307</v>
      </c>
    </row>
    <row r="85" spans="1:9" ht="54.8" customHeight="1" x14ac:dyDescent="0.25">
      <c r="A85" t="s">
        <v>177</v>
      </c>
      <c r="B85" t="s">
        <v>1308</v>
      </c>
      <c r="C85" t="s">
        <v>850</v>
      </c>
      <c r="D85" t="s">
        <v>570</v>
      </c>
      <c r="E85">
        <v>2</v>
      </c>
      <c r="F85" t="s">
        <v>908</v>
      </c>
      <c r="G85" s="38" t="s">
        <v>1309</v>
      </c>
      <c r="H85" t="s">
        <v>1061</v>
      </c>
      <c r="I85" s="38" t="s">
        <v>1310</v>
      </c>
    </row>
    <row r="86" spans="1:9" ht="54.8" customHeight="1" x14ac:dyDescent="0.25">
      <c r="A86" t="s">
        <v>237</v>
      </c>
      <c r="B86" t="s">
        <v>1311</v>
      </c>
      <c r="C86" t="s">
        <v>856</v>
      </c>
      <c r="D86" t="s">
        <v>572</v>
      </c>
      <c r="E86">
        <v>8.6999999999999993</v>
      </c>
      <c r="F86" t="s">
        <v>899</v>
      </c>
      <c r="G86" s="38" t="s">
        <v>1312</v>
      </c>
      <c r="H86" t="s">
        <v>1111</v>
      </c>
      <c r="I86" s="38" t="s">
        <v>1313</v>
      </c>
    </row>
    <row r="87" spans="1:9" ht="54.8" customHeight="1" x14ac:dyDescent="0.25">
      <c r="A87" t="s">
        <v>284</v>
      </c>
      <c r="B87" t="s">
        <v>1314</v>
      </c>
      <c r="C87" t="s">
        <v>856</v>
      </c>
      <c r="D87" t="s">
        <v>568</v>
      </c>
      <c r="E87">
        <v>5.4</v>
      </c>
      <c r="F87" t="s">
        <v>908</v>
      </c>
      <c r="G87" s="38" t="s">
        <v>1315</v>
      </c>
      <c r="H87" t="s">
        <v>1061</v>
      </c>
      <c r="I87" s="38" t="s">
        <v>1316</v>
      </c>
    </row>
    <row r="88" spans="1:9" ht="54.8" customHeight="1" x14ac:dyDescent="0.25">
      <c r="A88" t="s">
        <v>145</v>
      </c>
      <c r="B88" t="s">
        <v>1317</v>
      </c>
      <c r="C88" t="s">
        <v>856</v>
      </c>
      <c r="D88" t="s">
        <v>564</v>
      </c>
      <c r="E88">
        <v>5.6</v>
      </c>
      <c r="F88" t="s">
        <v>908</v>
      </c>
      <c r="G88" s="38" t="s">
        <v>1318</v>
      </c>
      <c r="H88" t="s">
        <v>1111</v>
      </c>
      <c r="I88" s="38" t="s">
        <v>1319</v>
      </c>
    </row>
    <row r="89" spans="1:9" ht="68.25" customHeight="1" x14ac:dyDescent="0.25">
      <c r="A89" t="s">
        <v>294</v>
      </c>
      <c r="B89" t="s">
        <v>1320</v>
      </c>
      <c r="C89" t="s">
        <v>850</v>
      </c>
      <c r="D89" t="s">
        <v>576</v>
      </c>
      <c r="E89">
        <v>1.3</v>
      </c>
      <c r="F89" t="s">
        <v>908</v>
      </c>
      <c r="G89" s="38" t="s">
        <v>1321</v>
      </c>
      <c r="H89" t="s">
        <v>1061</v>
      </c>
      <c r="I89" s="38" t="s">
        <v>1322</v>
      </c>
    </row>
    <row r="90" spans="1:9" ht="68.25" customHeight="1" x14ac:dyDescent="0.25">
      <c r="A90" t="s">
        <v>122</v>
      </c>
      <c r="B90" t="s">
        <v>1323</v>
      </c>
      <c r="C90" t="s">
        <v>856</v>
      </c>
      <c r="D90" t="s">
        <v>570</v>
      </c>
      <c r="E90">
        <v>3.5</v>
      </c>
      <c r="F90" t="s">
        <v>908</v>
      </c>
      <c r="G90" s="38" t="s">
        <v>1324</v>
      </c>
      <c r="H90" t="s">
        <v>1068</v>
      </c>
      <c r="I90" s="38" t="s">
        <v>1325</v>
      </c>
    </row>
    <row r="91" spans="1:9" ht="54.8" customHeight="1" x14ac:dyDescent="0.25">
      <c r="A91" t="s">
        <v>202</v>
      </c>
      <c r="B91" t="s">
        <v>1326</v>
      </c>
      <c r="C91" t="s">
        <v>850</v>
      </c>
      <c r="D91" t="s">
        <v>570</v>
      </c>
      <c r="E91">
        <v>5.9</v>
      </c>
      <c r="F91" t="s">
        <v>900</v>
      </c>
      <c r="G91" s="38" t="s">
        <v>1327</v>
      </c>
      <c r="H91" t="s">
        <v>1068</v>
      </c>
      <c r="I91" s="38" t="s">
        <v>1328</v>
      </c>
    </row>
    <row r="92" spans="1:9" ht="41.25" customHeight="1" x14ac:dyDescent="0.25">
      <c r="A92" t="s">
        <v>172</v>
      </c>
      <c r="B92" t="s">
        <v>1329</v>
      </c>
      <c r="C92" t="s">
        <v>856</v>
      </c>
      <c r="D92" t="s">
        <v>566</v>
      </c>
      <c r="E92">
        <v>4.5</v>
      </c>
      <c r="F92" t="s">
        <v>908</v>
      </c>
      <c r="G92" s="38" t="s">
        <v>1330</v>
      </c>
      <c r="H92" t="s">
        <v>1061</v>
      </c>
      <c r="I92" s="38" t="s">
        <v>1331</v>
      </c>
    </row>
    <row r="93" spans="1:9" ht="54.8" customHeight="1" x14ac:dyDescent="0.25">
      <c r="A93" t="s">
        <v>204</v>
      </c>
      <c r="B93" t="s">
        <v>1161</v>
      </c>
      <c r="C93" t="s">
        <v>856</v>
      </c>
      <c r="D93" t="s">
        <v>566</v>
      </c>
      <c r="E93">
        <v>7.5</v>
      </c>
      <c r="F93" t="s">
        <v>899</v>
      </c>
      <c r="G93" s="38" t="s">
        <v>1332</v>
      </c>
      <c r="H93" t="s">
        <v>1061</v>
      </c>
      <c r="I93" s="38" t="s">
        <v>1333</v>
      </c>
    </row>
    <row r="94" spans="1:9" ht="68.25" customHeight="1" x14ac:dyDescent="0.25">
      <c r="A94" t="s">
        <v>268</v>
      </c>
      <c r="B94" t="s">
        <v>1334</v>
      </c>
      <c r="C94" t="s">
        <v>850</v>
      </c>
      <c r="D94" t="s">
        <v>570</v>
      </c>
      <c r="E94">
        <v>6.8</v>
      </c>
      <c r="F94" t="s">
        <v>900</v>
      </c>
      <c r="G94" s="38" t="s">
        <v>1335</v>
      </c>
      <c r="H94" t="s">
        <v>1068</v>
      </c>
      <c r="I94" s="38" t="s">
        <v>1336</v>
      </c>
    </row>
    <row r="95" spans="1:9" ht="54.8" customHeight="1" x14ac:dyDescent="0.25">
      <c r="A95" t="s">
        <v>206</v>
      </c>
      <c r="B95" t="s">
        <v>1337</v>
      </c>
      <c r="C95" t="s">
        <v>850</v>
      </c>
      <c r="D95" t="s">
        <v>576</v>
      </c>
      <c r="E95">
        <v>5.3</v>
      </c>
      <c r="F95" t="s">
        <v>900</v>
      </c>
      <c r="G95" s="38" t="s">
        <v>1338</v>
      </c>
      <c r="H95" t="s">
        <v>1061</v>
      </c>
      <c r="I95" s="38" t="s">
        <v>1339</v>
      </c>
    </row>
    <row r="96" spans="1:9" ht="54.8" customHeight="1" x14ac:dyDescent="0.25">
      <c r="A96" t="s">
        <v>296</v>
      </c>
      <c r="B96" t="s">
        <v>1340</v>
      </c>
      <c r="C96" t="s">
        <v>850</v>
      </c>
      <c r="D96" t="s">
        <v>566</v>
      </c>
      <c r="E96">
        <v>0</v>
      </c>
      <c r="F96" t="s">
        <v>908</v>
      </c>
      <c r="G96" s="38" t="s">
        <v>1341</v>
      </c>
      <c r="H96" t="s">
        <v>1061</v>
      </c>
      <c r="I96" s="38" t="s">
        <v>1342</v>
      </c>
    </row>
    <row r="97" spans="1:9" ht="54.8" customHeight="1" x14ac:dyDescent="0.25">
      <c r="A97" t="s">
        <v>128</v>
      </c>
      <c r="B97" t="s">
        <v>1343</v>
      </c>
      <c r="C97" t="s">
        <v>850</v>
      </c>
      <c r="D97" t="s">
        <v>564</v>
      </c>
      <c r="E97">
        <v>2.4</v>
      </c>
      <c r="F97" t="s">
        <v>908</v>
      </c>
      <c r="G97" s="38" t="s">
        <v>1344</v>
      </c>
      <c r="H97" t="s">
        <v>1111</v>
      </c>
      <c r="I97" s="38" t="s">
        <v>1345</v>
      </c>
    </row>
    <row r="98" spans="1:9" ht="54.8" customHeight="1" x14ac:dyDescent="0.25">
      <c r="A98" t="s">
        <v>286</v>
      </c>
      <c r="B98" t="s">
        <v>1346</v>
      </c>
      <c r="C98" t="s">
        <v>850</v>
      </c>
      <c r="D98" t="s">
        <v>574</v>
      </c>
      <c r="E98">
        <v>7.9</v>
      </c>
      <c r="F98" t="s">
        <v>908</v>
      </c>
      <c r="G98" s="38" t="s">
        <v>1347</v>
      </c>
      <c r="H98" t="s">
        <v>1061</v>
      </c>
      <c r="I98" s="38" t="s">
        <v>1348</v>
      </c>
    </row>
    <row r="99" spans="1:9" ht="54.8" customHeight="1" x14ac:dyDescent="0.25">
      <c r="A99" t="s">
        <v>271</v>
      </c>
      <c r="B99" t="s">
        <v>1349</v>
      </c>
      <c r="C99" t="s">
        <v>856</v>
      </c>
      <c r="D99" t="s">
        <v>572</v>
      </c>
      <c r="E99">
        <v>1.8</v>
      </c>
      <c r="F99" t="s">
        <v>900</v>
      </c>
      <c r="G99" s="38" t="s">
        <v>1350</v>
      </c>
      <c r="H99" t="s">
        <v>1061</v>
      </c>
      <c r="I99" s="38" t="s">
        <v>1351</v>
      </c>
    </row>
    <row r="100" spans="1:9" ht="54.8" customHeight="1" x14ac:dyDescent="0.25">
      <c r="A100" t="s">
        <v>111</v>
      </c>
      <c r="B100" t="s">
        <v>1152</v>
      </c>
      <c r="C100" t="s">
        <v>850</v>
      </c>
      <c r="D100" t="s">
        <v>564</v>
      </c>
      <c r="E100">
        <v>4.5</v>
      </c>
      <c r="F100" t="s">
        <v>908</v>
      </c>
      <c r="G100" s="38" t="s">
        <v>1352</v>
      </c>
      <c r="H100" t="s">
        <v>1111</v>
      </c>
      <c r="I100" s="38" t="s">
        <v>1353</v>
      </c>
    </row>
    <row r="101" spans="1:9" ht="54.8" customHeight="1" x14ac:dyDescent="0.25">
      <c r="A101" t="s">
        <v>344</v>
      </c>
      <c r="B101" t="s">
        <v>1354</v>
      </c>
      <c r="C101" t="s">
        <v>850</v>
      </c>
      <c r="D101" t="s">
        <v>574</v>
      </c>
      <c r="E101">
        <v>1.6</v>
      </c>
      <c r="F101" t="s">
        <v>908</v>
      </c>
      <c r="G101" s="38" t="s">
        <v>1355</v>
      </c>
      <c r="H101" t="s">
        <v>1061</v>
      </c>
      <c r="I101" s="38" t="s">
        <v>1356</v>
      </c>
    </row>
  </sheetData>
  <autoFilter ref="A1:I101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2.9" x14ac:dyDescent="0.25"/>
  <cols>
    <col min="1" max="1" width="10" customWidth="1"/>
    <col min="2" max="2" width="22" customWidth="1"/>
    <col min="3" max="3" width="70" customWidth="1"/>
  </cols>
  <sheetData>
    <row r="1" spans="1:3" ht="15.05" customHeight="1" x14ac:dyDescent="0.25">
      <c r="A1" s="9" t="s">
        <v>83</v>
      </c>
      <c r="B1" s="9" t="s">
        <v>84</v>
      </c>
      <c r="C1" s="9" t="s">
        <v>1357</v>
      </c>
    </row>
    <row r="2" spans="1:3" ht="27.8" customHeight="1" x14ac:dyDescent="0.25">
      <c r="A2" t="s">
        <v>1358</v>
      </c>
      <c r="B2" t="s">
        <v>1359</v>
      </c>
      <c r="C2" s="38" t="s">
        <v>1360</v>
      </c>
    </row>
    <row r="3" spans="1:3" ht="27.8" customHeight="1" x14ac:dyDescent="0.25">
      <c r="A3" t="s">
        <v>1361</v>
      </c>
      <c r="B3" t="s">
        <v>1362</v>
      </c>
      <c r="C3" s="38" t="s">
        <v>1363</v>
      </c>
    </row>
    <row r="4" spans="1:3" ht="27.8" customHeight="1" x14ac:dyDescent="0.25">
      <c r="A4" t="s">
        <v>97</v>
      </c>
      <c r="B4" t="s">
        <v>549</v>
      </c>
      <c r="C4" s="38" t="s">
        <v>1364</v>
      </c>
    </row>
    <row r="5" spans="1:3" ht="27.8" customHeight="1" x14ac:dyDescent="0.25">
      <c r="A5" t="s">
        <v>1365</v>
      </c>
      <c r="B5" t="s">
        <v>1366</v>
      </c>
      <c r="C5" s="38" t="s">
        <v>1367</v>
      </c>
    </row>
    <row r="6" spans="1:3" ht="27.8" customHeight="1" x14ac:dyDescent="0.25">
      <c r="A6" t="s">
        <v>346</v>
      </c>
      <c r="B6" t="s">
        <v>555</v>
      </c>
      <c r="C6" s="38" t="s">
        <v>1368</v>
      </c>
    </row>
  </sheetData>
  <autoFilter ref="A1:C6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2.9" x14ac:dyDescent="0.25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spans="1:6" ht="23.25" customHeight="1" x14ac:dyDescent="0.25">
      <c r="A1" s="9" t="s">
        <v>1369</v>
      </c>
      <c r="B1" s="9" t="s">
        <v>1370</v>
      </c>
      <c r="C1" s="9" t="s">
        <v>1371</v>
      </c>
      <c r="D1" s="9" t="s">
        <v>1372</v>
      </c>
      <c r="E1" s="9" t="s">
        <v>1373</v>
      </c>
      <c r="F1" s="9" t="s">
        <v>1374</v>
      </c>
    </row>
    <row r="2" spans="1:6" ht="15.05" customHeight="1" x14ac:dyDescent="0.25">
      <c r="A2" t="s">
        <v>1375</v>
      </c>
      <c r="B2" t="s">
        <v>75</v>
      </c>
      <c r="C2" t="s">
        <v>1376</v>
      </c>
      <c r="D2" t="s">
        <v>330</v>
      </c>
      <c r="E2">
        <v>100</v>
      </c>
      <c r="F2">
        <v>100</v>
      </c>
    </row>
    <row r="3" spans="1:6" ht="15.05" customHeight="1" x14ac:dyDescent="0.25">
      <c r="A3" t="s">
        <v>1375</v>
      </c>
      <c r="B3" t="s">
        <v>76</v>
      </c>
      <c r="C3" t="s">
        <v>1376</v>
      </c>
      <c r="D3" t="s">
        <v>1059</v>
      </c>
      <c r="E3">
        <v>100</v>
      </c>
      <c r="F3">
        <v>95</v>
      </c>
    </row>
    <row r="4" spans="1:6" ht="15.05" customHeight="1" x14ac:dyDescent="0.25">
      <c r="A4" t="s">
        <v>1375</v>
      </c>
      <c r="B4" t="s">
        <v>919</v>
      </c>
      <c r="C4" t="s">
        <v>1376</v>
      </c>
      <c r="D4" t="s">
        <v>850</v>
      </c>
      <c r="E4">
        <v>100</v>
      </c>
      <c r="F4">
        <v>2</v>
      </c>
    </row>
    <row r="5" spans="1:6" ht="15.05" customHeight="1" x14ac:dyDescent="0.25">
      <c r="A5" t="s">
        <v>1375</v>
      </c>
      <c r="B5" t="s">
        <v>562</v>
      </c>
      <c r="C5" t="s">
        <v>1376</v>
      </c>
      <c r="D5" t="s">
        <v>568</v>
      </c>
      <c r="E5">
        <v>100</v>
      </c>
      <c r="F5">
        <v>8</v>
      </c>
    </row>
    <row r="6" spans="1:6" ht="15.05" customHeight="1" x14ac:dyDescent="0.25">
      <c r="A6" t="s">
        <v>1375</v>
      </c>
      <c r="B6" t="s">
        <v>1057</v>
      </c>
      <c r="C6" t="s">
        <v>1377</v>
      </c>
      <c r="D6" t="s">
        <v>1378</v>
      </c>
      <c r="E6">
        <v>100</v>
      </c>
      <c r="F6">
        <v>62</v>
      </c>
    </row>
    <row r="7" spans="1:6" ht="15.05" customHeight="1" x14ac:dyDescent="0.25">
      <c r="A7" t="s">
        <v>1375</v>
      </c>
      <c r="B7" t="s">
        <v>920</v>
      </c>
      <c r="C7" t="s">
        <v>1376</v>
      </c>
      <c r="D7" t="s">
        <v>908</v>
      </c>
      <c r="E7">
        <v>100</v>
      </c>
      <c r="F7">
        <v>3</v>
      </c>
    </row>
    <row r="8" spans="1:6" ht="15.05" customHeight="1" x14ac:dyDescent="0.25">
      <c r="A8" t="s">
        <v>1375</v>
      </c>
      <c r="B8" t="s">
        <v>1058</v>
      </c>
      <c r="C8" t="s">
        <v>1376</v>
      </c>
      <c r="D8" t="s">
        <v>1060</v>
      </c>
      <c r="E8">
        <v>100</v>
      </c>
      <c r="F8">
        <v>100</v>
      </c>
    </row>
    <row r="9" spans="1:6" ht="15.05" customHeight="1" x14ac:dyDescent="0.25">
      <c r="A9" t="s">
        <v>1375</v>
      </c>
      <c r="B9" t="s">
        <v>921</v>
      </c>
      <c r="C9" t="s">
        <v>1376</v>
      </c>
      <c r="D9" t="s">
        <v>1061</v>
      </c>
      <c r="E9">
        <v>100</v>
      </c>
      <c r="F9">
        <v>3</v>
      </c>
    </row>
    <row r="10" spans="1:6" ht="15.05" customHeight="1" x14ac:dyDescent="0.25">
      <c r="A10" t="s">
        <v>1375</v>
      </c>
      <c r="B10" t="s">
        <v>677</v>
      </c>
      <c r="C10" t="s">
        <v>1376</v>
      </c>
      <c r="D10" t="s">
        <v>1379</v>
      </c>
      <c r="E10">
        <v>100</v>
      </c>
      <c r="F10">
        <v>100</v>
      </c>
    </row>
    <row r="11" spans="1:6" ht="15.05" customHeight="1" x14ac:dyDescent="0.25">
      <c r="A11" t="s">
        <v>1380</v>
      </c>
      <c r="B11" t="s">
        <v>83</v>
      </c>
      <c r="C11" t="s">
        <v>1376</v>
      </c>
      <c r="D11" t="s">
        <v>1358</v>
      </c>
      <c r="E11">
        <v>5</v>
      </c>
      <c r="F11">
        <v>5</v>
      </c>
    </row>
    <row r="12" spans="1:6" ht="15.05" customHeight="1" x14ac:dyDescent="0.25">
      <c r="A12" t="s">
        <v>1380</v>
      </c>
      <c r="B12" t="s">
        <v>84</v>
      </c>
      <c r="C12" t="s">
        <v>1376</v>
      </c>
      <c r="D12" t="s">
        <v>1359</v>
      </c>
      <c r="E12">
        <v>5</v>
      </c>
      <c r="F12">
        <v>5</v>
      </c>
    </row>
    <row r="13" spans="1:6" ht="15.05" customHeight="1" x14ac:dyDescent="0.25">
      <c r="A13" t="s">
        <v>1380</v>
      </c>
      <c r="B13" t="s">
        <v>1357</v>
      </c>
      <c r="C13" t="s">
        <v>1376</v>
      </c>
      <c r="D13" t="s">
        <v>1381</v>
      </c>
      <c r="E13">
        <v>5</v>
      </c>
      <c r="F13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Task Brief</vt:lpstr>
      <vt:lpstr>Shortlist Summary</vt:lpstr>
      <vt:lpstr>Scored Shortlist</vt:lpstr>
      <vt:lpstr>Scoring Prompt</vt:lpstr>
      <vt:lpstr>Prompt Iterations</vt:lpstr>
      <vt:lpstr>Rule Check</vt:lpstr>
      <vt:lpstr>Verification</vt:lpstr>
      <vt:lpstr>Bias Test</vt:lpstr>
      <vt:lpstr>Fairness Audit</vt:lpstr>
      <vt:lpstr>Guidelines</vt:lpstr>
      <vt:lpstr>AI Use Log</vt:lpstr>
      <vt:lpstr>Resumes</vt:lpstr>
      <vt:lpstr>Job Descriptions</vt:lpstr>
      <vt:lpstr>Data Dictionary</vt:lpstr>
      <vt:lpstr>RV_CUT</vt:lpstr>
      <vt:lpstr>RV_SKILL</vt:lpstr>
      <vt:lpstr>SL_CUT</vt:lpstr>
      <vt:lpstr>SL_SKILL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Deez नट्स</cp:lastModifiedBy>
  <cp:revision>0</cp:revision>
  <dcterms:created xsi:type="dcterms:W3CDTF">2026-09-25T16:15:29Z</dcterms:created>
  <dcterms:modified xsi:type="dcterms:W3CDTF">2026-10-04T10:38:59Z</dcterms:modified>
  <dc:language>en-US</dc:language>
</cp:coreProperties>
</file>